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cognizantonline-my.sharepoint.com/personal/2377275_cognizant_com/Documents/Desktop/ATS/"/>
    </mc:Choice>
  </mc:AlternateContent>
  <xr:revisionPtr revIDLastSave="0" documentId="8_{DD67421D-1B69-4001-B119-1052D99FEFFB}" xr6:coauthVersionLast="47" xr6:coauthVersionMax="47" xr10:uidLastSave="{00000000-0000-0000-0000-000000000000}"/>
  <bookViews>
    <workbookView xWindow="-110" yWindow="-110" windowWidth="19420" windowHeight="10300" tabRatio="500" firstSheet="1" activeTab="1" xr2:uid="{00000000-000D-0000-FFFF-FFFF00000000}"/>
  </bookViews>
  <sheets>
    <sheet name="Cover" sheetId="1" r:id="rId1"/>
    <sheet name="Test Script Register" sheetId="2" r:id="rId2"/>
    <sheet name="Execution Summary" sheetId="3" r:id="rId3"/>
  </sheets>
  <definedNames>
    <definedName name="_xlnm._FilterDatabase" localSheetId="1" hidden="1">'Test Script Register'!$A$3:$S$155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8" i="3" l="1"/>
  <c r="G28" i="3"/>
  <c r="F28" i="3"/>
  <c r="E28" i="3"/>
  <c r="D28" i="3"/>
  <c r="C28" i="3"/>
  <c r="B28" i="3"/>
  <c r="H27" i="3"/>
  <c r="G27" i="3"/>
  <c r="F27" i="3"/>
  <c r="E27" i="3"/>
  <c r="D27" i="3"/>
  <c r="C27" i="3"/>
  <c r="B27" i="3"/>
  <c r="H26" i="3"/>
  <c r="G26" i="3"/>
  <c r="F26" i="3"/>
  <c r="E26" i="3"/>
  <c r="D26" i="3"/>
  <c r="C26" i="3"/>
  <c r="B26" i="3"/>
  <c r="H25" i="3"/>
  <c r="G25" i="3"/>
  <c r="F25" i="3"/>
  <c r="E25" i="3"/>
  <c r="D25" i="3"/>
  <c r="C25" i="3"/>
  <c r="B25" i="3"/>
  <c r="H24" i="3"/>
  <c r="G24" i="3"/>
  <c r="F24" i="3"/>
  <c r="E24" i="3"/>
  <c r="D24" i="3"/>
  <c r="C24" i="3"/>
  <c r="B24" i="3"/>
  <c r="H23" i="3"/>
  <c r="G23" i="3"/>
  <c r="F23" i="3"/>
  <c r="E23" i="3"/>
  <c r="D23" i="3"/>
  <c r="C23" i="3"/>
  <c r="B23" i="3"/>
  <c r="H22" i="3"/>
  <c r="G22" i="3"/>
  <c r="F22" i="3"/>
  <c r="E22" i="3"/>
  <c r="D22" i="3"/>
  <c r="C22" i="3"/>
  <c r="B22" i="3"/>
  <c r="H21" i="3"/>
  <c r="G21" i="3"/>
  <c r="F21" i="3"/>
  <c r="E21" i="3"/>
  <c r="D21" i="3"/>
  <c r="C21" i="3"/>
  <c r="B21" i="3"/>
  <c r="H20" i="3"/>
  <c r="G20" i="3"/>
  <c r="F20" i="3"/>
  <c r="E20" i="3"/>
  <c r="D20" i="3"/>
  <c r="C20" i="3"/>
  <c r="B20" i="3"/>
  <c r="H19" i="3"/>
  <c r="G19" i="3"/>
  <c r="F19" i="3"/>
  <c r="E19" i="3"/>
  <c r="D19" i="3"/>
  <c r="C19" i="3"/>
  <c r="B19" i="3"/>
  <c r="H18" i="3"/>
  <c r="G18" i="3"/>
  <c r="F18" i="3"/>
  <c r="E18" i="3"/>
  <c r="D18" i="3"/>
  <c r="C18" i="3"/>
  <c r="B18" i="3"/>
  <c r="H17" i="3"/>
  <c r="G17" i="3"/>
  <c r="F17" i="3"/>
  <c r="E17" i="3"/>
  <c r="D17" i="3"/>
  <c r="C17" i="3"/>
  <c r="B17" i="3"/>
  <c r="E13" i="3"/>
  <c r="D13" i="3"/>
  <c r="C13" i="3"/>
  <c r="B13" i="3"/>
  <c r="E12" i="3"/>
  <c r="D12" i="3"/>
  <c r="C12" i="3"/>
  <c r="B12" i="3"/>
  <c r="E11" i="3"/>
  <c r="D11" i="3"/>
  <c r="C11" i="3"/>
  <c r="B11" i="3"/>
  <c r="E10" i="3"/>
  <c r="D10" i="3"/>
  <c r="C10" i="3"/>
  <c r="B10" i="3"/>
  <c r="B6" i="3"/>
  <c r="B5" i="3"/>
  <c r="B4" i="3"/>
  <c r="B3" i="3"/>
</calcChain>
</file>

<file path=xl/sharedStrings.xml><?xml version="1.0" encoding="utf-8"?>
<sst xmlns="http://schemas.openxmlformats.org/spreadsheetml/2006/main" count="2012" uniqueCount="1126">
  <si>
    <t>TEST SCRIPT REGISTER</t>
  </si>
  <si>
    <t>ATS - Oracle Recruiting Cloud (ORC) Implementation — SIT/UAT Test Scripts</t>
  </si>
  <si>
    <t>Project Name</t>
  </si>
  <si>
    <t>Oracle Recruiting Cloud Implementation</t>
  </si>
  <si>
    <t>Client / Org</t>
  </si>
  <si>
    <t>Cognizant</t>
  </si>
  <si>
    <t>Document Title</t>
  </si>
  <si>
    <t>Test Script Register — Derived from Fit/Gap Analysis V1.1</t>
  </si>
  <si>
    <t>Source Document</t>
  </si>
  <si>
    <t>ATS - ORC - Fit / Gap V1.1</t>
  </si>
  <si>
    <t>Version</t>
  </si>
  <si>
    <t>1.0</t>
  </si>
  <si>
    <t>Prepared By</t>
  </si>
  <si>
    <t>Tejal Dalavi</t>
  </si>
  <si>
    <t>Reviewed By</t>
  </si>
  <si>
    <t>[Name]</t>
  </si>
  <si>
    <t>Approved By</t>
  </si>
  <si>
    <t>Date</t>
  </si>
  <si>
    <t>17-Aug-2026</t>
  </si>
  <si>
    <t>Status</t>
  </si>
  <si>
    <t>Draft</t>
  </si>
  <si>
    <t>TEST APPLICABILITY LEGEND</t>
  </si>
  <si>
    <t>Value</t>
  </si>
  <si>
    <t>Meaning</t>
  </si>
  <si>
    <t>Yes</t>
  </si>
  <si>
    <t>Classified as FIT or PARTIAL FIT — testable now in the configured ORC environment.</t>
  </si>
  <si>
    <t>Conditional</t>
  </si>
  <si>
    <t>Classified as GAP but an interim workaround/manual process exists — test the workaround only, not the underlying gap.</t>
  </si>
  <si>
    <t>No</t>
  </si>
  <si>
    <t>Classified as Out of Scope — not testable in this phase; track separately.</t>
  </si>
  <si>
    <t>WORKBOOK STRUCTURE</t>
  </si>
  <si>
    <t>Cover</t>
  </si>
  <si>
    <t>Project details and legend (this tab).</t>
  </si>
  <si>
    <t>Test Script Register</t>
  </si>
  <si>
    <t>One test script per Fit/Gap requirement — objective, steps, expected result, execution tracking.</t>
  </si>
  <si>
    <t>Execution Summary</t>
  </si>
  <si>
    <t>Counts of test scripts by module, classification, and applicability; pass/fail tracker.</t>
  </si>
  <si>
    <t>NOTE - Fill in Actual Result, Pass/Fail, Tester, Date Tested during SIT/UAT execution | Test Steps,Preconditions, Test data and expected results are yet to be edited and reviewed</t>
  </si>
  <si>
    <t>Test Script ID</t>
  </si>
  <si>
    <t>Req ID</t>
  </si>
  <si>
    <t>Module (Process)</t>
  </si>
  <si>
    <t>Sub-Process</t>
  </si>
  <si>
    <t>Priority</t>
  </si>
  <si>
    <t>Classification</t>
  </si>
  <si>
    <t>Test Type</t>
  </si>
  <si>
    <t>Test Applicable</t>
  </si>
  <si>
    <t>Test Objective</t>
  </si>
  <si>
    <t>Preconditions</t>
  </si>
  <si>
    <t>Test Steps</t>
  </si>
  <si>
    <t>Test Data / Sample Input</t>
  </si>
  <si>
    <t>Expected Result</t>
  </si>
  <si>
    <t>Actual Result</t>
  </si>
  <si>
    <t>Pass / Fail</t>
  </si>
  <si>
    <t>Defect Ref</t>
  </si>
  <si>
    <t>Tester</t>
  </si>
  <si>
    <t>Date Tested</t>
  </si>
  <si>
    <t>ATS Owner</t>
  </si>
  <si>
    <t>TC01-REF</t>
  </si>
  <si>
    <t>REQ_ERP_0001</t>
  </si>
  <si>
    <t>Employee Referral</t>
  </si>
  <si>
    <t>Referral UI Configuration</t>
  </si>
  <si>
    <t>Medium</t>
  </si>
  <si>
    <t>FIT</t>
  </si>
  <si>
    <t>Positive</t>
  </si>
  <si>
    <t>verify the Hiring Manager name is suppressed from display.</t>
  </si>
  <si>
    <t xml:space="preserve">1. User account provisioned with the Employee (Referrer) role.
2. A second user account provisioned with Recruiter or Hiring Manager role.
3. At least two active job requisitions exist, each with a Hiring Manager assigned, and each open for referral.
</t>
  </si>
  <si>
    <t>1.Log in to Oracle Recruiting Cloud as Recruiter.
2.Open the target requisition and confirm a Hiring Manager is assigned to it.
3. Log out. 
4.Log in to the Employee Referral portal as Employee (Referrer).
5.Open the same requisition on the referral portal and check the Hiring Manager field/section.
6.Capture screenshots of each view. Record Actual Result and Pass/Fail.</t>
  </si>
  <si>
    <t>As per test environment configuration / sample requisition-candidate-offer data</t>
  </si>
  <si>
    <t xml:space="preserve">1. Recruiter home page is displayed.
2. Requisition details page opens and confirms that a Hiring Manager is assigned to the requisition.
3. Recruiter user is logged out successfully 
4. Employee Referral portal is displayed for the Employee (Referrer).
5. Requisition details are displayed, but the Hiring Manager name is not visible in any section of the referral portal.
</t>
  </si>
  <si>
    <t>Hilhorst, Bill</t>
  </si>
  <si>
    <t>TC02-REF</t>
  </si>
  <si>
    <t>REQ_ERP_0002</t>
  </si>
  <si>
    <t>Referral Notifications</t>
  </si>
  <si>
    <t>Low</t>
  </si>
  <si>
    <t>Submit an employee referral and verify the confirmation notification routes to the shared mailbox rather than showing individual recruiter details.</t>
  </si>
  <si>
    <t>1.User provisioned with Employee (Referrer) role
2.Referral notification is configured in system
3.Shared mail address is already present and confirmed as the designated sender/reply-to for referral notifications.
4.Test requisition IDs exist, each with a distinct individual recruiter assigned.
5. Test candidate record (name, email) available for use in the referral submission.</t>
  </si>
  <si>
    <t>1. Log in to Oracle Recruiting Cloud as Employee (Referrer).
2. Navigate to the Employee Referral &gt; and select Requisition A (Recruiter X assigned).
3.Submit a referral for the test candidate against Requisition A.
4.Open the actual confirmation email received by the referrer (not just the on-screen submission message). Inspect From, Reply-To, and body content.
5.Capture screenshots of both emails (full headers visible). Record Actual Result and Pass/Fail.</t>
  </si>
  <si>
    <t>1.Test candidate record (name, email)
2.shared mailbox address as configured (e.g., referrals@company.com)</t>
  </si>
  <si>
    <t>1. Employee (Referrer) home page is displayed successfully.
2. Requisition A is displayed and available for referral.
3. Referral is submitted successfully for the test candidate against Requisition A.
4. Confirmation email is received by the referrer and displays the configured shared mailbox address as the sender/contact point. No individual recruiter name, email address, or direct contact information is displayed in the From, Reply-To, or email body.</t>
  </si>
  <si>
    <t>M, Anand</t>
  </si>
  <si>
    <t>TC03-REF</t>
  </si>
  <si>
    <t>REQ_ERP_0003</t>
  </si>
  <si>
    <t>Job Search Configuration</t>
  </si>
  <si>
    <t>Search jobs on the referral portal using the referral category/incentive-type filter and verify results filter correctly.</t>
  </si>
  <si>
    <t xml:space="preserve">1.User provisioned with Employee (Referrer) role           2.A Descriptive Flexfield (DFF) for "Referral Category/Incentive Type" is defined on the job requisition and made visible via Transaction Design Studio and enabled as a career site search filter via the Recruiting - Define Career Site action.                3. At least two active requisitions exist, open for referral, tagged with different values of the Referral Category/Incentive Type field                         </t>
  </si>
  <si>
    <t>1. Log in to Oracle Recruiting Cloud as Employee (Referrer).
2. Navigate to Job Search on the referral portal.
3.Locate the filter section.
Verify that Referral Category or Incentive Type filter is available.
4. select the value corresponding to Requisition A (e.g., "Critical Hire").
Review the returned result set.
5. Capture a screenshot/evidence and record the Actual Result and Pass/Fail outcome.</t>
  </si>
  <si>
    <t xml:space="preserve">1. Employee (Referrer) home page is displayed successfully.
2. Job Search page opens and active requisitions are available for search.
3. Referral Category/Incentive Type filter is visible and available for selection.
4. After selecting the Referral Category/Incentive Type value associated with Requisition A, only requisitions matching the selected value are returned in the search results.
</t>
  </si>
  <si>
    <t>TC04-REF</t>
  </si>
  <si>
    <t>Negative</t>
  </si>
  <si>
    <t>Attempt to a search a job with invalid filters</t>
  </si>
  <si>
    <t xml:space="preserve">1. User provisioned with Employee (Referrer) role                                         2. Referral Category / Incentive Type filters are configured.                             3. At least one filter value exists in the picklist that currently has zero requisitions tagged with it (or a keyword/filter combination known to have no matches).                                            </t>
  </si>
  <si>
    <t>1. Log in to Oracle Recruiting Cloud as Employee (Referrer).
2. Navigate to the Employee Referral &gt; Job Search Configuration area relevant to this requirement.
3. Attempt to search a job with invalid filters.
4. Observe and record the system's actual behavior against the test objective.
5. Confirm the system correctly blocks, restricts, or flags the invalid/unauthorized action rather than allowing it silently, and that any validation/error message shown is clear and accurate.
6. Capture a screenshot/evidence and record the Actual Result and Pass/Fail outcome.</t>
  </si>
  <si>
    <t>1. Employee (Referrer) home page is displayed successfully.
2. Job Search page opens successfully and configured search filters are available.
3. Unsupported or non-configured referral filters are not available for selection. When a filter value with no associated requisitions is selected, the system accepts the search request. 
4. The system does not return any unrelated requisitions. A clear "No jobs found" message or equivalent result is displayed when no matching requisitions exist for the selected filter criteria. 
5. The system correctly restricts search results to configured filter values and does not allow unsupported search behaviour. Any validation or informational message displayed is clear and accurate.
.</t>
  </si>
  <si>
    <t>TC05-REF</t>
  </si>
  <si>
    <t>REQ_ERP_0004</t>
  </si>
  <si>
    <t>Referral Configuration Governance</t>
  </si>
  <si>
    <t>Attempt a general referral with no matching job and verify the system blocks general referrals and routes the candidate into the Talent Community instead.</t>
  </si>
  <si>
    <t>1. User provisioned with Employee (Referrer) role            2. ORC sandbox/test environment configured per Fit-Gap Register solution for 'Referral Configuration Governance'.                                   3. At least one test candidate record (name, email) available for use in the referral attempt.                4. Talent Community functionality is enabled.</t>
  </si>
  <si>
    <t>1. Log in to Oracle Recruiting Cloud as Employee (Referrer).
2. Go to Me tab → click Refer Job Openings (or Quick Actions → Employee Referrals).
3. On the Employee Referrals landing page, look for any option to refer a candidate without selecting a specific requisition first
4. Verify that the system blocks general referrals and routes the candidate into the Talent Community instead.
5. Capture a screenshot/evidence and record the Actual Result and Pass/Fail outcome.</t>
  </si>
  <si>
    <t xml:space="preserve">1. Employee (Referrer) home page is displayed successfully.
2. Employee Referrals page opens successfully and referral functionality is accessible. 
3. No option is available to submit a general referral without associating the candidate to a specific job requisition.
4. When attempting a referral without a matching requisition, the system prevents creation of a general referral and routes the candidate to the Talent Community process instead.
</t>
  </si>
  <si>
    <t>TC06-REF</t>
  </si>
  <si>
    <t>REQ_ERP_0005</t>
  </si>
  <si>
    <t>Duplicate Management</t>
  </si>
  <si>
    <t>High</t>
  </si>
  <si>
    <t>Refer a candidate who does not exists in the system and verify the CSP action correctly proceeds without error</t>
  </si>
  <si>
    <t>1. User is provisioned with Employee (Referrer) role.
2. Candidate used for testing does not already exist in ORC.
3. Active requisition is available for referral.
4. Duplicate Management configuration is enabled in the test environment.
5. Employee has access to the Employee Referral portal.</t>
  </si>
  <si>
    <t>1. Login to ORC as Employee (Referrer).
2. Navigate to Me &gt; Referrals &gt; Search Jobs.
3. Search for and select an active job requisition.
4. Click Refer Candidate.
5. Enter candidate details using a unique email address that does not exist in ORC.
6. Upload a resume (if applicable) and complete required referral information.
7. Submit the referral.
8. Verify that the referral submission completes successfully without any duplicate candidate warning or pop-up.
9. Search for the candidate profile (if recruiter access is available) and verify the referral record was created.
10. Capture screenshots and execution evidence.</t>
  </si>
  <si>
    <t xml:space="preserve">1. Employee Referrer home page is displayed successfully.
2. Referral job search page opens successfully. 
3. Active requisition is displayed and available for referral.
4. Referral submission page opens successfully.
5. Candidate details are accepted without validation errors.
6. Referral information is completed successfully.
7. Referral is submitted successfully.
8. No duplicate-candidate pop-up, warning message, or validation error is displayed.
9. New candidate profile and referral application are created successfully.
</t>
  </si>
  <si>
    <t>Bishop, Christopher Arockiasamy, Arun Prasad</t>
  </si>
  <si>
    <t>TC07-REF</t>
  </si>
  <si>
    <t>Refer a candidate who already exists in the system and verify the CSP action correctly triggers the existing-candidate duplicate pop-up.</t>
  </si>
  <si>
    <t xml:space="preserve">1. User account provisioned with the Employee (Referrer) role.
2. At least one active requisition exists and is open for referral.
3. A candidate record already exists in Oracle Recruiting Cloud with a known email address that can be used for testing.
4. Duplicate Management configuration is enabled in the test environment.
</t>
  </si>
  <si>
    <t>1. Log in to Oracle Recruiting Cloud as Employee (Referrer).
2. Navigate to Employee Referrals and open an active requisition available for referral.
3. Click Refer Candidate.
4. Enter the details of a candidate who already exists in Oracle Recruiting Cloud (using the existing candidate email address).
5. Complete all mandatory referral details and attempt to submit the referral.
6. Observe the system response and verify whether a duplicate-candidate pop-up or warning message is displayed.
7. Review the information presented in the duplicate pop-up. 
8. Capture screenshots/evidence and record the Actual Result and Pass/Fail outcome.</t>
  </si>
  <si>
    <t xml:space="preserve">1. Employee (Referrer) home page is displayed successfully. 
2. Referral page opens and the selected requisition is available for referral.
3. Referral form opens successfully.
4. Candidate information is accepted for validation.
5. The system identifies that the candidate already exists in Oracle Recruiting Cloud.
6. An existing-candidate duplicate pop-up or warning message is displayed.
7. The duplicate message clearly indicates that the candidate already exists and prevents the creation of a duplicate candidate record in accordance with the configured duplicate management rules.
</t>
  </si>
  <si>
    <t>TC08-REF</t>
  </si>
  <si>
    <t>REQ_ERP_0006</t>
  </si>
  <si>
    <t>Resume Parsing (Referral Portal)</t>
  </si>
  <si>
    <t>PARTIAL FIT</t>
  </si>
  <si>
    <t>Upload a resume via the referral portal and verify it is parsed and matched to relevant jobs for the referrer, per the confirmed Oracle support scope.</t>
  </si>
  <si>
    <t>1. User account provisioned with the Employee (Referrer) role.
2. Resume Parsing functionality is enabled and available on the Employee Referral portal as per the approved workaround configuration.
3. At least two active job requisitions exist and are open for referral.
4. A test resume is available containing skills, qualifications, and experience that closely match one or more active requisitions.
5. A second test resume is available containing a different skill profile to validate matching behaviour.
6. ..</t>
  </si>
  <si>
    <t>1. Log in to Oracle Recruiting Cloud as Employee (Referrer).
2. Navigate to the Employee Referral portal.
3. Locate the Resume Upload / Resume Parsing functionality.
4. Upload Test Resume A.
5. Allow the system to parse the uploaded resume and process the candidate profile.
6. Review the jobs recommended or matched by the system based on the uploaded resume.
7. Verify that the displayed jobs are relevant to the skills and experience contained in the resume.
8. Repeat the process using Test Resume B with a different skill profile.
9. Review the jobs recommended for the second resume.
10. Capture screenshots/evidence and record the Actual Result and Pass/Fail outcome.</t>
  </si>
  <si>
    <t xml:space="preserve">1. Employee (Referrer) home page is displayed successfully.
2. Employee Referral portal opens successfully.
3. Resume upload functionality is available and accessible.
4. Resume A is uploaded successfully.
5. Resume content is parsed successfully without errors.
6. Job recommendations or matching results are displayed based on the parsed resume data.
7. Displayed job matches are relevant to the skills, qualifications, and experience contained in Resume A.
8. Resume B is uploaded and parsed successfully.
9. Matching results are refreshed and reflect the different skills and experience contained in Resume B.
</t>
  </si>
  <si>
    <t>Coroiu, Alina</t>
  </si>
  <si>
    <t>TC09-REF</t>
  </si>
  <si>
    <t>Attempt to save/submit 'Resume Parsing (Referral Portal)' with invalid/wrong resume format upload</t>
  </si>
  <si>
    <t xml:space="preserve">1. User account provisioned with the Employee (Referrer) role.
2. Resume Parsing functionality is enabled and available on the Employee Referral portal as per the approved workaround configuration.
3. At least one active job requisition exists and is open for referral.
4. An invalid test file is available for upload, such as:
- Unsupported file type (.exe, .zip, .png, .xlsx)
- Corrupted resume file
- Password-protected document (if unsupported)
</t>
  </si>
  <si>
    <t>1. Log in to Oracle Recruiting Cloud as Employee (Referrer).
2. Navigate to the Employee Referral portal.
3. Locate the Resume Upload / Resume Parsing functionality.
4. Select and upload an invalid or unsupported resume file format.
5. Attempt to submit or continue with the resume parsing process.
6. Observe the system response and any validation or error messages displayed.
7. Verify whether the system prevents processing of the invalid file.
8. Capture screenshots/evidence and record the Actual Result and Pass/Fail outcome.</t>
  </si>
  <si>
    <t>1. Employee (Referrer) home page is displayed successfully.
2. Employee Referral portal opens successfully.
3. Resume upload functionality is available and accessible.
4. Invalid or unsupported resume file is selected for upload.
5. System validates the uploaded file and identifies that the format is not supported or cannot be processed.
6. A clear and appropriate validation or error message is displayed to the user.
7. Resume parsing and job matching do not proceed for the invalid file, and no candidate data is created or updated.
.</t>
  </si>
  <si>
    <t>TC010-REF</t>
  </si>
  <si>
    <t>REQ_ERP_0007</t>
  </si>
  <si>
    <t>Referral Form Configuration</t>
  </si>
  <si>
    <t>Submit an employee referral form and verify the VBS-based branching questions (custom fields in Application Composer) display/hide dynamically</t>
  </si>
  <si>
    <t xml:space="preserve">1. User account provisioned with the Employee (Referrer) role.
2. Referral form is configured with custom fields created through Application Composer.
3. VBS rules are configured to dynamically show or hide fields based on answers provided in the referral form.
4. At least two branching scenarios are configured (e.g., selecting "Employee Referral Type = Internal" displays additional fields, while selecting "External" hides them).
5. At least one active requisition exists and is open for referral.
</t>
  </si>
  <si>
    <t>1. Log in to Oracle Recruiting Cloud as Employee (Referrer).
2. Navigate to Employee Referrals and select an active requisition.
3. Click Refer Candidate and open the referral form.
4. Locate the custom field that controls branching behaviour.
5. Select the first response option that should display additional fields based on the configured VBS rule.
6. Verify that the dependent/branching fields appear dynamically without refreshing the page.
7. Change the controlling field value to an option that should hide the dependent fields.
8. Verify that the dependent/branching fields are hidden dynamically.
9. Complete and submit the referral form.
10. Capture screenshots/evidence and record the Actual Result and Pass/Fail outcome.</t>
  </si>
  <si>
    <t xml:space="preserve">1. Employee (Referrer) home page is displayed successfully.
2. Employee Referral page opens and an active requisition is available for referral.
3. Referral form opens successfully.
4. Custom branching fields are visible and available for interaction.
5. Selecting the configured trigger value causes the appropriate dependent fields to appear dynamically.
6. Additional fields display immediately based on the configured VBS rule.
7. Changing the trigger value updates the form dynamically and hides the dependent fields when applicable.
8. Branching logic behaves correctly without requiring page refresh or manual intervention.
9. Referral form is submitted successfully.
10. Dynamic display/hide behaviour remains consistent across multiple branching scenarios.
</t>
  </si>
  <si>
    <t>TC011-REF</t>
  </si>
  <si>
    <t>REQ_ERP_0008</t>
  </si>
  <si>
    <t>Referral Consent Capture</t>
  </si>
  <si>
    <t>Attempt to save/submit 'Referral Consent Capture' with mandatory or compliance-required fields filled/answered fully</t>
  </si>
  <si>
    <t xml:space="preserve">1. User account provisioned with the Employee (Referrer) role.
2. Referral Consent Capture configuration is enabled in Oracle Recruiting Cloud.
3. Mandatory consent fields, compliance acknowledgements, and consent checkboxes are configured on the referral form.
4. At least one active requisition exists and is open for referral.
5. Test candidate information (name, email address) is available.
</t>
  </si>
  <si>
    <t>1. Log in to Oracle Recruiting Cloud as Employee (Referrer).
2. Navigate to Employee Referrals and select an active requisition.
3. Click Refer Candidate and open the referral form.
4. Enter all required candidate information.
5. Complete all mandatory consent and compliance fields.
6. Select all required consent checkboxes and acknowledgements.
7. Submit the referral form.
8. Verify that the referral is submitted successfully.
9. Review the submitted referral details, if available.
10. Capture screenshots/evidence and record the Actual Result and Pass/Fail outcome.</t>
  </si>
  <si>
    <t xml:space="preserve">1. Employee (Referrer) home page is displayed successfully.
2. Employee Referral page opens and the selected requisition is available for referral.
3. Referral form opens successfully.
4. Candidate information is entered successfully.
5. All mandatory consent and compliance fields are available and can be completed.
6. Required consent acknowledgements are accepted successfully.
7. Referral form is submitted successfully without validation errors.
8.Referral record is created successfully.
9. Consent responses, acknowledgements, and related compliance information are captured and stored as part of the referral submission, including any configured reporting or audit details such as timestamp information.
</t>
  </si>
  <si>
    <t>TC012-REF</t>
  </si>
  <si>
    <t>Attempt to save/submit 'Referral Consent Capture' with mandatory or compliance-required field(s) left blank or invalid</t>
  </si>
  <si>
    <t>1. Log in to Oracle Recruiting Cloud as Employee (Referrer).
2. Navigate to Employee Referrals and select an active requisition.
3. Click Refer Candidate and open the referral form.
4. Enter candidate information.
5. Leave one or more mandatory consent/compliance fields blank, or enter invalid information where applicable.
6. Do not select the required consent acknowledgement checkbox(es).
7. Attempt to submit the referral form.
8. Observe any validation or error messages displayed.
9. Verify whether the referral is prevented from being submitted.
10. Capture screenshots/evidence and record the Actual Result and Pass/Fail outcome.</t>
  </si>
  <si>
    <t xml:space="preserve">1. Employee (Referrer) home page is displayed successfully.
2. Employee Referral page opens and the selected requisition is available for referral.
3. Referral form opens successfully.
4. Candidate information is entered successfully.
5. Mandatory consent/compliance field(s) remain incomplete or contain invalid values.
6. Required consent acknowledgements are not provided.
7. System prevents submission of the referral form.
8. Clear validation or error messages identify the missing or invalid consent/compliance information.
9. No referral record is created or submitted until all mandatory consent requirements are completed correctly.
</t>
  </si>
  <si>
    <t>TC013-REF</t>
  </si>
  <si>
    <t>REQ_ERP_0009</t>
  </si>
  <si>
    <t>Referrer Dashboard</t>
  </si>
  <si>
    <t>View the referrer dashboard and verify referral status is displayed using the masked/approved status taxonomy rather than raw CSP phase/state values.</t>
  </si>
  <si>
    <t xml:space="preserve">1. User account provisioned with the Employee (Referrer) role.
2. Referrer Dashboard functionality is enabled and accessible.
3. At least three referral records exist for the Employee (Referrer).
4. The referred candidates are in different recruiting lifecycle stages (for example: Application Received, Under Review, Interview, Hired, Not Selected).
5. Status masking configuration has been implemented to display approved referral status taxonomy rather than raw CSP phase/state values.
</t>
  </si>
  <si>
    <t>1. Log in to Oracle Recruiting Cloud as Employee (Referrer).
2. Navigate to Me &gt; Referrals &gt; My Referrals (or Referrer Dashboard).
3. Open the Referrer Dashboard and review the status displayed for Referral A.
4. Open the corresponding candidate application as Recruiter (if access is available) and note the actual CSP phase/state value.
5. Compare the status shown on the Referrer Dashboard with the underlying CSP phase/state.
6. Repeat the validation for Referral B and Referral C in different recruiting stages.
7. Verify that only approved referrer-facing status values are displayed on the dashboard.
8. Capture screenshots/evidence and record the Actual Result and Pass/Fail outcome.</t>
  </si>
  <si>
    <t xml:space="preserve">1. Employee (Referrer) home page is displayed successfully.
2. Referrer Dashboard opens successfully and referral records are displayed.
3. Referral status is visible for Referral A.
4. Underlying CSP phase/state can be identified from the candidate application record.
5. Dashboard displays the approved referrer-facing status and does not expose raw CSP phase or state values.
6. The same behaviour is observed for Referral B and Referral C across different recruiting stages.
7. Only approved status taxonomy values are displayed to the referrer, and no recruiter-only or system-internal statuses are exposed.
</t>
  </si>
  <si>
    <t>TC014-REF</t>
  </si>
  <si>
    <t>REQ_ERP_0010</t>
  </si>
  <si>
    <t>Referral Reporting Access</t>
  </si>
  <si>
    <t>Log in as an authorized end user/business stakeholder and verify referral reporting access via Security Console/OTBI permissions works correctly.</t>
  </si>
  <si>
    <t xml:space="preserve">1. User account provisioned with the business stakeholder role that is intended to access referral reporting.
2. Required OTBI duty roles, privileges, or custom reporting roles are assigned to the test user through Security Console.
3. Referral reporting subject areas, analyses, or dashboards are available in the test environment.
4. Referral data exists in the system for reporting purposes. 
</t>
  </si>
  <si>
    <t>1. Log in to Oracle Recruiting Cloud as the authorized end user/business stakeholder.
2. Navigate to Reports and Analytics (or OTBI).
3. Search for and open the configured Referral Reporting analysis or dashboard.
4. Verify that the report opens successfully and displays referral data.
5. Execute the report and review the returned results.
6. Verify that only the intended referral reporting data is accessible.
7. Navigate to Security Console and confirm the assigned reporting role/privilege linked to referral reporting access.
8. Capture screenshots/evidence and record the Actual Result and Pass/Fail outcome.</t>
  </si>
  <si>
    <t xml:space="preserve">1. Authorized business stakeholder successfully logs in to Oracle Recruiting Cloud.
2. Reports and Analytics / OTBI is accessible.
3. Referral Reporting analysis or dashboard is visible to the user.
4. Report opens successfully and displays referral reporting data.
5. Report executes without security or authorization errors.
6. User can access only the referral reporting information permitted by their assigned security role.
7. Security Console role configuration supports the user's reporting access as designed.
</t>
  </si>
  <si>
    <t>TC015-REF</t>
  </si>
  <si>
    <t>Attempt to access 'Referral Report  using a role/user that is NOT authorized for it</t>
  </si>
  <si>
    <t xml:space="preserve">1. A Referral Report, OTBI analysis, or referral reporting dashboard has been configured and is available in the test environment.
2. User account is provisioned with a role that does NOT have referral reporting access.
3. The user does not have the required Security Console roles, duty roles, or OTBI privileges associated with referral reporting.
4. Referral reporting data exists in the environment.
</t>
  </si>
  <si>
    <t>1. Log in to Oracle Recruiting Cloud as a user who is not authorized to access referral reporting.
2. Navigate to Reports and Analytics (OTBI).
3. Search for the Referral Report or Referral Reporting Dashboard.
4. Attempt to open the report directly.
5. If the report is visible, attempt to run or schedule the report.
6. Attempt to access the report through a bookmarked URL or shared catalog path (if available).
7. Observe the system response and any security or access validation messages.
8. Capture screenshots/evidence and record the Actual Result and Pass/Fail outcome.</t>
  </si>
  <si>
    <t xml:space="preserve">1. Unauthorized user logs in successfully.
2. Reports and Analytics page opens successfully.
3. Referral Report is not visible to the unauthorized user, or access is restricted.
4. If direct access is attempted, the system prevents the report from opening.
5. Report execution and scheduling are not permitted.
6. Direct URL or catalog-path access is blocked by security controls.
7. Appropriate security or access-denied messages are displayed where applicable.
</t>
  </si>
  <si>
    <t>TC016-REF</t>
  </si>
  <si>
    <t>REQ_ERP_0011</t>
  </si>
  <si>
    <t>Branding / Terminology</t>
  </si>
  <si>
    <t>View the referral module label and verify 'Opportunity MarketPlace' has been renamed to 'Global Referrals'</t>
  </si>
  <si>
    <t xml:space="preserve">1. User account provisioned with Employee (Referrer) role.
2. Text replacement/branding configuration has been completed for the referral module.
3. Opportunity Marketplace label has been configured to display as "Global Referrals" for employee users.
4. Employee Referral functionality is enabled and accessible.
</t>
  </si>
  <si>
    <t>1. Log in to Oracle Recruiting Cloud as Employee (Referrer).
2. Navigate to the Me tab or main navigation menu where referral functionality is accessed.
3. Locate the menu item, tile, quick action, or page label previously known as "Opportunity Marketplace".
4. Open the Global Referrals page/module.
5. Navigate through the referral-related pages and review page titles, breadcrumbs, section headers, and navigation labels.
6. Verify that "Global Referrals" is consistently displayed to the user.
7. Capture screenshots/evidence and record the Actual Result and Pass/Fail outcome.</t>
  </si>
  <si>
    <t xml:space="preserve">1. Employee (Referrer) home page is displayed successfully.
2. Referral-related navigation options are visible and accessible.
3. The label "Global Referrals" is displayed instead of "Opportunity Marketplace" in the configured navigation area.
4. Global Referrals page opens successfully.
5. Page titles, menu labels, breadcrumbs, and other configured user-facing references display "Global Referrals" consistently.
6. No unexpected references to "Opportunity Marketplace" are visible in the employee-facing referral experience where the rename has been configured.
</t>
  </si>
  <si>
    <t>Arribas Carolina</t>
  </si>
  <si>
    <t>TC017-REF</t>
  </si>
  <si>
    <t>REQ_ERP_0012</t>
  </si>
  <si>
    <t>View the referral candidate screen and verify the Apply button and Refer-employee dropdown option are hidden.</t>
  </si>
  <si>
    <t xml:space="preserve">1. User account provisioned with the Employee (Referrer) role.
2. Employee Referral functionality is enabled and accessible.
3. UI configuration has been completed to hide the Apply button and Refer Employee dropdown option.
4. At least one active requisition exists and is visible on the referral portal.
</t>
  </si>
  <si>
    <t>1. Log in to Oracle Recruiting Cloud as Employee (Referrer).
2. Navigate to the Global Referrals / Employee Referral portal.
3. Search for and open an active job requisition.
4. Navigate to the referral candidate screen or job details page.
5. Review the available action buttons and dropdown menus on the page.
6. Verify whether the Apply button is displayed.
7. Verify whether the Refer Employee option is available within any Actions or dropdown menu.
8. Capture screenshots/evidence and record the Actual Result and Pass/Fail outcome.</t>
  </si>
  <si>
    <t xml:space="preserve">1. Employee (Referrer) home page is displayed successfully.
2. Global Referrals / Employee Referral page opens successfully.
3. Active requisition details are displayed.
4. Referral candidate screen opens successfully.
5. Action buttons and available menu options are displayed according to the configured UI setup.
6. Apply button is not visible to the Employee (Referrer).
7. Refer Employee dropdown option is not visible or available for selection.
</t>
  </si>
  <si>
    <t>TC018-REF</t>
  </si>
  <si>
    <t>Try to refer internal employee from referal portal</t>
  </si>
  <si>
    <t xml:space="preserve">1. User account provisioned with the Employee (Referrer) role.
2. Employee Referral functionality is enabled and accessible.
3. Internal employee referral restrictions have been configured as per the approved design.
4. An active employee record exists in Oracle HCM with a valid work email address.
5. At least one active requisition exists and is open for referral.
</t>
  </si>
  <si>
    <t>1. Log in to Oracle Recruiting Cloud as Employee (Referrer).
2. Navigate to Global Referrals / Employee Referrals.
3. Open an active requisition available for referral.
4. Click Refer Candidate.
5. Enter the details of an existing internal employee (for example, using the employee's work email address).
6. Complete all mandatory referral details.
7. Attempt to submit the referral.
8. Observe the system response and any validation or warning messages.
9. Capture screenshots/evidence and record the Actual Result and Pass/Fail outcome.</t>
  </si>
  <si>
    <t xml:space="preserve">1. Employee (Referrer) home page is displayed successfully.
2. Employee Referral page opens successfully.
3. Active requisition details are displayed.
4. Referral form opens successfully.
5. Internal employee details are entered successfully.
6. Mandatory referral fields are completed.
7. System identifies that the referred person is an existing employee.
8. Referral submission is blocked and an appropriate validation or informational message is displayed indicating that internal employees cannot be referred through the external referral process.
9. No referral record is created for the internal employee.
</t>
  </si>
  <si>
    <t>TC019-REF</t>
  </si>
  <si>
    <t>REQ_ERP_0013</t>
  </si>
  <si>
    <t>Navigate to Opportunity Marketplace and verify the Submitted Applications tab is hidden.</t>
  </si>
  <si>
    <t xml:space="preserve">1. User account provisioned with the Employee (Referrer) role.
2. Opportunity Marketplace / Global Referrals functionality is enabled and accessible.
3. UI configuration has been completed to hide the Submitted Applications tab from employee users.
4. At least one active requisition exists and is available in Opportunity Marketplace.
</t>
  </si>
  <si>
    <t>1. Log in to Oracle Recruiting Cloud as Employee (Referrer).
2. Navigate to Opportunity Marketplace (or Global Referrals, if renamed).
3. Open the main Opportunity Marketplace landing page.
4. Review all available tabs and navigation options.
5. Specifically verify whether the Submitted Applications tab is displayed.
6. Navigate through available pages and menus to confirm the Submitted Applications tab is not accessible through alternate navigation paths.
7. Capture screenshots/evidence and record the Actual Result and Pass/Fail outcome.</t>
  </si>
  <si>
    <t xml:space="preserve">1. Employee (Referrer) home page is displayed successfully.
2. Opportunity Marketplace / Global Referrals page opens successfully.
3. Available tabs and navigation options are displayed according to the configured user experience.
4. Submitted Applications tab is not visible to the Employee (Referrer).
5. Submitted Applications functionality cannot be accessed through direct navigation within Opportunity Marketplace.
6. No unexpected links, menus, or shortcuts expose the Submitted Applications tab.
</t>
  </si>
  <si>
    <t>TC01-JR</t>
  </si>
  <si>
    <t>REQ_JR_0001</t>
  </si>
  <si>
    <t>Job Requisition</t>
  </si>
  <si>
    <t>AI Recruiting Assistant / Chatbot</t>
  </si>
  <si>
    <t>Interact with the Recruiting Assistant/AI chatbot as an external candidate, recruiter, and employee and verify each receives appropriate referral-recommendation interactions.</t>
  </si>
  <si>
    <t xml:space="preserve">1. Recruiting Assistant / AI Chatbot functionality is enabled and accessible.
2. Three test accounts are available:
a. External Candidate user
b. Employee user
c. Recruiter user
3. Referral recommendation functionality is configured for each applicable user type.
4. Active requisitions exist that can be used for referral recommendation testing.
</t>
  </si>
  <si>
    <t>1. Log in to Oracle Recruiting Cloud as an External Candidate.
2. Open the Recruiting Assistant / AI Chatbot.
3. Interact with the chatbot and ask for referral-related guidance or job recommendations.
4. Record the chatbot response.
5. Log out and log in as an Employee user.
6. Open the Recruiting Assistant / AI Chatbot.
7. Request referral recommendations or ask how to refer a candidate.
8. Record the chatbot response.
9. Log out and log in as a Recruiter user.
10. Open the Recruiting Assistant / AI Chatbot.
11. Request referral-related recommendations, referral management assistance, or referral candidate guidance.
12. Record the chatbot response.
13. Compare the responses received for each user type.
14. Capture screenshots/evidence and record the Actual Result and Pass/Fail outcome.</t>
  </si>
  <si>
    <t xml:space="preserve">1. External Candidate successfully accesses the Recruiting Assistant / AI Chatbot.
2. Chatbot provides candidate-appropriate responses and recommendations relevant to external applicants.
3. Employee user successfully accesses the Recruiting Assistant / AI Chatbot.
4. Chatbot provides employee-specific referral guidance and referral recommendation interactions.
5. Recruiter user successfully accesses the Recruiting Assistant / AI Chatbot.
6. Chatbot provides recruiter-specific referral recommendations, referral management guidance, or recruiting-related assistance.
7. Responses displayed by the chatbot differ appropriately based on the user's role and access level.
8. No unauthorized referral information, recruiter-only information, or candidate-confidential information is exposed to the wrong user type.
</t>
  </si>
  <si>
    <t>M, Anand / Barath G</t>
  </si>
  <si>
    <t>TC02-JR</t>
  </si>
  <si>
    <t>REQ_JR_0002</t>
  </si>
  <si>
    <t>Recruiting Activity Center</t>
  </si>
  <si>
    <t>Update the priority of an activity in the Recruiting Activity Center and verify the change reflects correctly on the dashboard.</t>
  </si>
  <si>
    <t xml:space="preserve">1. User account provisioned with Recruiter role and access to Recruiting Activity Center.
2. At least one recruiting activity/task exists in the Recruiting Activity Center.
3. User has permission to edit activity details, including priority.
4. Activity is visible on the Recruiting Activity Center dashboard.
</t>
  </si>
  <si>
    <t>1. Log in to Oracle Recruiting Cloud as Recruiter.
2. Navigate to Recruiting Activity Center.
3. Locate an existing recruiting activity displayed on the dashboard.
4. Open the activity details.
5. Update the activity priority (for example, change from Medium to High).
6. Save the activity.
7. Return to the Recruiting Activity Center dashboard.
8. Locate the same activity and review the displayed priority.
9. Refresh the dashboard if necessary.
10. Capture screenshots/evidence and record the Actual Result and Pass/Fail outcome.</t>
  </si>
  <si>
    <t xml:space="preserve">1. Recruiter home page is displayed successfully.
2. Recruiting Activity Center opens successfully.
3. Existing recruiting activity is visible on the dashboard.
4. Activity details page opens successfully.
5. Priority field is available and can be updated.
6. Updated priority is saved successfully without errors.
7. User returns to the Recruiting Activity Center dashboard successfully.
8. Activity displays the newly selected priority value.
9. Dashboard reflects the updated priority accurately and consistently after refresh.
</t>
  </si>
  <si>
    <t>TC03-JR</t>
  </si>
  <si>
    <t>Attempt to access/perform 'Recruiting Activity Center' action using a role/user that is NOT authorized for it</t>
  </si>
  <si>
    <t xml:space="preserve">1. Recruiting Activity Center functionality is enabled in Oracle Recruiting Cloud.
2. A user account exists that does NOT have Recruiter privileges or access to the Recruiting Activity Center.
3. Recruiting activities/tasks exist in the environment.
4. Security roles and privileges have been configured according to the approved security model.
</t>
  </si>
  <si>
    <t>1. Log in to Oracle Recruiting Cloud using a user account that is not authorized to access the Recruiting Activity Center.
2. Attempt to navigate to Recruiting &gt; Activity Center using the main menu.
3. Verify whether the Recruiting Activity Center menu option is visible.
4. If visible, attempt to open the Recruiting Activity Center.
5. Attempt to access a Recruiting Activity Center page using a bookmarked URL or direct link.
6. Attempt to view activity details.
7. Attempt to update the priority of an activity or perform any available activity action.
8. Observe the system response and any validation, authorization, or security messages displayed.
9. Capture screenshots/evidence and record the Actual Result and Pass/Fail outcome.</t>
  </si>
  <si>
    <t xml:space="preserve">1. User logs in successfully using the unauthorized account.
2. Recruiting Activity Center menu option is not visible, or access is restricted based on security configuration.
3. Unauthorized user cannot access the Recruiting Activity Center through navigation.
4. If direct access is attempted, the system prevents the page from opening.
5. Access through bookmarked URLs or direct links is blocked by security controls.
6. Activity details are not accessible to the unauthorized user.
7. User cannot update activity priorities or perform Recruiting Activity Center actions.
8. Appropriate access denied, insufficient privileges, or authorization messages are displayed where applicable.
</t>
  </si>
  <si>
    <t>TC04-JR</t>
  </si>
  <si>
    <t>REQ_JR_0003</t>
  </si>
  <si>
    <t>Log in as a Recruiting Administrator and verify priority configuration options are available and editable in the Activity Center.</t>
  </si>
  <si>
    <t xml:space="preserve">1. User account provisioned with Recruiting Administrator role.
2. Recruiting Activity Center is enabled and configured in the environment.
3. User has access to Activity Center configuration tasks and related setup privileges.
4. At least one Recruiting Activity Center item/activity type is configured in the system.
</t>
  </si>
  <si>
    <t>1. Log in to Oracle Recruiting Cloud as Recruiting Administrator.
2. Navigate to Setup and Maintenance.
3. Search for and open the Configure Recruiting Activity Center Items task.
4. Locate an existing activity type within the Recruiting Activity Center configuration.
5. Open the activity configuration for editing.
6. Review the available Priority configuration options.
7. Modify the Priority value (for example, change from Medium to High).
8. Save the configuration.
9. Reopen the same activity configuration and verify the updated value is retained.
10. Capture screenshots/evidence and record the Actual Result and Pass/Fail outcome.</t>
  </si>
  <si>
    <t xml:space="preserve">1. Recruiting Administrator home page is displayed successfully.
2. Setup and Maintenance page opens successfully.
3. Configure Recruiting Activity Center Items task is accessible.
4. Existing Recruiting Activity Center items are displayed.
5. Activity configuration page opens successfully.
6. Priority configuration options are visible and editable.
7. Updated priority value is accepted without validation errors.
8. Configuration changes are saved successfully.
9. Reopened configuration displays the updated priority value, confirming the change was retained.
</t>
  </si>
  <si>
    <t>G, Barath</t>
  </si>
  <si>
    <t>TC05-JR</t>
  </si>
  <si>
    <t>REQ_JR_0004</t>
  </si>
  <si>
    <t>Field-Level Compliance (Legal Name)</t>
  </si>
  <si>
    <t>Create/update a requisition and offer for an Americas role and verify the Legal Name field flows consistently from the ATS application through to background-check and PeopleSoft integration points.</t>
  </si>
  <si>
    <t xml:space="preserve">1. User account provisioned with Recruiter role and access to create/update requisitions, candidate applications, and offers.
2. Americas requisition configuration is available in Oracle Recruiting Cloud.
3. Legal Name field is configured and available on the ATS application for Americas candidates.
4. Background-check integration is enabled and configured for Americas hiring flow.
5. PeopleSoft integration is enabled and configured to receive candidate/offer data from Oracle Recruiting Cloud.
6. At least one test candidate record is available with Legal Name details that can be validated across ATS, background-check, and PeopleSoft integration points.
</t>
  </si>
  <si>
    <t>1. Log in to Oracle Recruiting Cloud as Recruiter.
2. Create or update a job requisition for an Americas role.
3. Publish or make the requisition available for candidate application.
4. Submit an application for the test candidate against the Americas requisition. 
5. Enter or verify the candidate Legal Name field on the ATS application.
6. Open the candidate application details and verify the Legal Name value is displayed correctly.
7. Move the candidate through the required recruiting phases until background-check initiation is available.
8. Initiate or trigger the background-check process for the candidate.
9. Verify that the Legal Name value is passed correctly to the background-check integration.
10. Continue candidate processing and navigate to Offer creation.
11. Create or update the offer for the Americas role.
12. Verify that the Legal Name value is displayed or mapped correctly in the offer details.
13. Trigger or validate the PeopleSoft integration point for the candidate/offer.
14. Verify that the Legal Name value is passed consistently to PeopleSoft without mismatch or truncation.
15. Capture screenshots/evidence and record the Actual Result and Pass/Fail outcome.</t>
  </si>
  <si>
    <t xml:space="preserve">1. Recruiter home page is displayed successfully.
2. Americas requisition is created or updated successfully.
3. Requisition is available for candidate application.
4. Candidate application is submitted successfully against the Americas requisition.
5. Legal Name field is available and populated on the ATS application.
6. Candidate application details display the same Legal Name value entered during application submission.
7. Candidate progresses successfully through the required recruiting phases.
8. Background-check process is initiated successfully.
9. Background-check integration receives the correct Legal Name value from the ATS application.
10. Offer creation page opens successfully.
11. Offer is created or updated successfully for the Americas role.
12. Legal Name value is displayed or mapped correctly in the offer details.
13. PeopleSoft integration is triggered or available for validation.
14. PeopleSoft receives the same Legal Name value as captured in the ATS application and offer, with no mismatch, missing value, or formatting issue.
</t>
  </si>
  <si>
    <t>Faujdar, Stuti</t>
  </si>
  <si>
    <t>TC06-JR</t>
  </si>
  <si>
    <t>Attempt to save/submit Job Requisition without Legal Name</t>
  </si>
  <si>
    <t xml:space="preserve">1. User account provisioned with Recruiter role and permission to create or update job requisitions.
2. Legal Name field is configured as a mandatory field for the applicable hiring process, requisition, application, or offer flow.
3. Americas hiring configuration is enabled and available in the test environment.
4. At least one valid recruiting configuration exists to create or update the requisition.
</t>
  </si>
  <si>
    <t>1. Log in to Oracle Recruiting Cloud as Recruiter.
2. Create a new requisition or open an existing requisition for editing.
3. Navigate to the section containing the Legal Name field.
4. Leave the Legal Name field blank.
5. Complete all other mandatory fields with valid data.
6. Attempt to save or submit the requisition.
7. Observe the system response and any validation messages displayed.
8. Capture screenshots/evidence and record the Actual Result and Pass/Fail outcome.</t>
  </si>
  <si>
    <t xml:space="preserve">1. Recruiter home page is displayed successfully.
2. Requisition creation or update page opens successfully.
3. Legal Name field is available on the requisition.
4. Legal Name field is left blank while all other required fields are completed.
5. System performs validation during save or submit.
6. Save/submit action is blocked because the Legal Name field is missing.
7. A clear validation error message indicates that the Legal Name field is required.
8. Requisition is not saved or submitted until a valid Legal Name value is provided.
</t>
  </si>
  <si>
    <t>TC07-JR</t>
  </si>
  <si>
    <t>REQ_JR_0005</t>
  </si>
  <si>
    <t>Role-Based Document Access</t>
  </si>
  <si>
    <t xml:space="preserve">Log in as a  authorizes user and verify they have edit access to job requisition and offer documents, </t>
  </si>
  <si>
    <t>1. User account is provisioned with an authorized recruiting role (for example, Recruiter, Hiring Manager, or Recruiting Administrator) that is expected to have edit access.
2. At least one active job requisition exists and is accessible to the user.
3. At least one candidate application exists with an associated offer document.
4. Security roles and data security permissions are configured according to the approved access model.</t>
  </si>
  <si>
    <t>1. Log in to Oracle Recruiting Cloud as the authorized user.
2. Navigate to Recruiting and search for an existing job requisition.
3. Open the requisition details page.
4. Verify that the Edit action is available for the requisition.
5. Update a non-business-critical field on the requisition (for example, description or internal notes).
6. Save the requisition.
7. Navigate to a candidate application that has an offer associated with it.
8. Open the Offer details page.
9. Verify that the Edit action is available for the offer document.
10. Update a non-business-critical field on the offer.
11. Save the offer document.
12. Reopen both the requisition and offer to verify the changes were retained.
13. Capture screenshots/evidence and record the Actual Result and Pass/Fail outcome.</t>
  </si>
  <si>
    <t>1. Authorized user logs in successfully.
2. Recruiting work area is accessible.
3. Job requisition is displayed successfully.
4. Edit option is available for the requisition.
5. Requisition updates are accepted without security or validation errors.
6. Requisition changes are saved successfully.
7. Candidate application and associated offer are accessible.
8. Offer details page opens successfully.
9. Edit option is available for the offer document.
10. Offer updates are accepted without security or authorization errors.</t>
  </si>
  <si>
    <t>Henschel, Fabian</t>
  </si>
  <si>
    <t>TC08-JR</t>
  </si>
  <si>
    <t>Attempt to access/perform 'Role-Based Document Access' action using a role/user that is NOT authorized for it</t>
  </si>
  <si>
    <t xml:space="preserve">1. A job requisition and associated offer document exist in Oracle Recruiting Cloud.
2. User account is provisioned with a role that does NOT have permission to view or edit job requisition and offer documents.
3. Security roles and data security policies are configured according to the approved role-based access model.
4. Authorized users can successfully access the same requisition and offer documents.
</t>
  </si>
  <si>
    <t>1. Log in to Oracle Recruiting Cloud as a user who is not authorized to access requisition and offer documents.
2. Navigate to Recruiting and search for a requisition that exists in the system.
3. Attempt to open the requisition details page.
4. If the requisition is accessible, attempt to click Edit and make changes.
5. Navigate to a candidate application associated with the requisition.
6. Attempt to open the related offer document.
7. If the offer document is accessible, attempt to click Edit and modify a field.
8. Attempt to access the requisition or offer using a bookmarked URL or direct link (if available).
9. Observe the system response and any security or authorization messages displayed.
10. Capture screenshots/evidence and record the Actual Result and Pass/Fail outcome.</t>
  </si>
  <si>
    <t xml:space="preserve">1. Unauthorized user logs in successfully.
2. Recruiting work area opens according to the user's assigned permissions.
3. Access to the job requisition is restricted or limited based on security configuration.
4. User cannot edit the requisition and does not have access to edit actions.
5. Candidate application information is restricted according to role permissions.
6. Offer document is not accessible, or access is restricted to view-only functionality where applicable.
7. User cannot edit or update the offer document.
8.Direct URL or bookmarked-link access is blocked by Oracle security controls.
9. Appropriate access-denied, insufficient privileges, or authorization messages are displayed where applicable.
</t>
  </si>
  <si>
    <t>TC09-JR</t>
  </si>
  <si>
    <t>REQ_JR_0006</t>
  </si>
  <si>
    <t>Requisition &amp; Candidate Visibility (HM)</t>
  </si>
  <si>
    <t>Log in as a Hiring Manager and verify they can view their assigned requisitions and the pipeline stage/status of candidates against them, per the configured security profile.</t>
  </si>
  <si>
    <t xml:space="preserve">1. User account provisioned with the Hiring Manager role.
2. At least two active job requisitions are assigned to the Hiring Manager.
3. Each requisition has one or more candidate applications in different pipeline phases/statuses (for example: Screening, Interview, Offer).
4. Hiring Manager security profile is configured to allow visibility of assigned requisitions and candidate pipeline information.
</t>
  </si>
  <si>
    <t>1. Log in to Oracle Recruiting Cloud as Hiring Manager.
2. Navigate to Recruiting and access the Requisitions work area.
3. Review the list of requisitions displayed.
4. Open Requisition A that is assigned to the Hiring Manager.
5. Navigate to the Candidates tab or candidate pipeline view for the requisition.
6. Review the list of candidates associated with the requisition.
7. Verify the pipeline phase and status displayed for each candidate.
8. Open a candidate application and review the displayed recruiting status.
9. Return to the requisition and repeat the validation for Requisition B.
10. Capture screenshots/evidence and record the Actual Result and Pass/Fail outcome.</t>
  </si>
  <si>
    <t xml:space="preserve">1. Hiring Manager home page is displayed successfully.
2. Recruiting work area opens successfully.
3. Only requisitions assigned to the Hiring Manager are displayed, according to the configured security profile.
4. Assigned requisition details open successfully.
5. Candidate pipeline view is accessible for assigned requisitions.
6. Candidates associated with the requisition are displayed successfully.
7. Pipeline phases and statuses are visible for each candidate.
8. Candidate application details display the appropriate recruiting phase and status information permitted by the Hiring Manager security profile.
9. The same visibility is provided for other assigned requisitions.
</t>
  </si>
  <si>
    <t>TC010-JR</t>
  </si>
  <si>
    <t>REQ_JR_0007</t>
  </si>
  <si>
    <t>Prescreening Question Governance</t>
  </si>
  <si>
    <t>Create a requisition using a governed prescreening question set from the Question Library and verify scoring/weightage can be adjusted only per the configured recruiter permissions.</t>
  </si>
  <si>
    <t xml:space="preserve">1. User account provisioned with Recruiter role.
2. Question Library contains at least one governed prescreening question set.
3. Prescreening questions include configured scoring and weightage values.
4. Recruiter security permissions are configured to control whether scoring and weightage can be modified.
5. At least one requisition can be created by the recruiter.
6. A second recruiter account with different permission levels is available (optional, for comparison).
</t>
  </si>
  <si>
    <t>1. Log in to Oracle Recruiting Cloud as Recruiter.
2. Navigate to Recruiting and create a new requisition.
3. Complete the required requisition details.
4. Navigate to the Prescreening Questions section.
5. Add a governed prescreening question set from the Question Library.
6. Verify that the questions, scoring, and weightage values are populated on the requisition.
7. Attempt to modify the scoring value for one or more questions.
8. Attempt to modify the weightage assigned to one or more questions.
9. Save the requisition.
10. Reopen the requisition and verify the final scoring and weightage values.
11. Capture screenshots/evidence and record the Actual Result and Pass/Fail outcome.</t>
  </si>
  <si>
    <t xml:space="preserve">1. Recruiter home page is displayed successfully.
2. Requisition creation page opens successfully.
3. Requisition details are entered successfully.
4. Prescreening Questions section is accessible.
5. Governed prescreening question set is available in the Question Library and can be added to the requisition.
6. Prescreening questions are added successfully with configured scoring and weightage values.
7. Recruiter can modify scoring values only if permitted by the configured recruiter security permissions.
8. Recruiter can modify question weightage only if permitted by the configured recruiter security permissions.
9. Any restricted scoring or weightage fields remain read-only and cannot be edited by unauthorized users.
10. Requisition is saved successfully.
11. Saved scoring and weightage values reflect the user's configured permissions and governance rules.
</t>
  </si>
  <si>
    <t>TC011-JR</t>
  </si>
  <si>
    <t>Attempt to submit an application for 'Prescreening Question Governance' without answering mandatory prescreening/knockout questions</t>
  </si>
  <si>
    <t xml:space="preserve">1. A job requisition exists with a governed prescreening question set attached from the Question Library.
2. One or more prescreening questions are configured as mandatory and/or knockout questions.
3. Candidate user account is available and can apply for the requisition.
4. Application flow is configured to display prescreening questions during application submission.
</t>
  </si>
  <si>
    <t>1. Log in to Oracle Recruiting Cloud as an External Candidate.
2. Search for and open the requisition configured with governed prescreening questions.
3. Click Apply and proceed through the application process.
4. Complete all required application sections except the mandatory prescreening/knockout questions.
5. Leave one or more mandatory prescreening questions unanswered.
6. Attempt to submit the application.
7. Observe any validation messages displayed by the system.
8. Verify whether the application can be submitted.
9. Capture screenshots/evidence and record the Actual Result and Pass/Fail outcome.</t>
  </si>
  <si>
    <t xml:space="preserve">1. Candidate successfully accesses the job application.
2. Application process opens and prescreening questions are displayed.
3. Mandatory prescreening/knockout questions are clearly identified as required fields.
4. Candidate proceeds through the application without answering one or more mandatory prescreening questions.
5. System performs validation during application submission.
6. Application submission is blocked because required prescreening/knockout questions have not been answered.
7. Clear validation messages identify the unanswered mandatory questions.
8. No candidate application is submitted until all mandatory prescreening/knockout questions are completed.
</t>
  </si>
  <si>
    <t>TC01-INTM</t>
  </si>
  <si>
    <t>REQ_INTM_0001</t>
  </si>
  <si>
    <t>Interview Management</t>
  </si>
  <si>
    <t>Interview Feedback Templates</t>
  </si>
  <si>
    <t>Schedule interviews across different stage/region/grade combinations and verify each auto-populates the correctly mapped feedback template.</t>
  </si>
  <si>
    <t xml:space="preserve">1. User account provisioned with Recruiter role and permission to schedule interviews.
2. Interview feedback templates are configured in Oracle Recruiting Cloud.
3. Template mapping rules are configured based on interview stage, region, grade, or a combination of these attributes.
4. At least three test requisitions exist covering different stage/region/grade combinations.
5. At least one candidate application exists for each test requisition.
</t>
  </si>
  <si>
    <t>1. Log in to Oracle Recruiting Cloud as Recruiter.
2. Open Candidate A associated with Requisition A.
3. Schedule an interview for Candidate A in Stage A / Region A / Grade A.
4. Open the interview details and review the assigned feedback template.
5. Record the template name displayed.
6. Open Candidate B associated with Requisition B.
7. Schedule an interview for Candidate B in Stage B / Region B / Grade B.
8. Open the interview details and review the assigned feedback template.
9. Record the template name displayed.
10. Open Candidate C associated with Requisition C.
11. Schedule an interview for Candidate C in Stage C / Region C / Grade C.
12. Open the interview details and review the assigned feedback template.
13. Record the template name displayed.
14. Compare the displayed templates against the configured mapping rules.
15. Capture screenshots/evidence and record the Actual Result and Pass/Fail outcome.</t>
  </si>
  <si>
    <t xml:space="preserve">1. Recruiter home page is displayed successfully.
2. Candidate A application is accessible.
3. Interview is scheduled successfully for Candidate A.
4. Feedback template is automatically populated for Candidate A.
5. Displayed template matches the configured mapping for Stage A / Region A / Grade A.
6. Candidate B application is accessible.
7. Interview is scheduled successfully for Candidate B.
8. Feedback template is automatically populated for Candidate B.
9. Displayed template matches the configured mapping for Stage B / Region B / Grade B.
10. Candidate C application is accessible.
11. Interview is scheduled successfully for Candidate C.
12. Feedback template is automatically populated for Candidate C.
13. Displayed template matches the configured mapping for Stage C / Region C / Grade C.
14. No manual template selection is required when automatic mapping rules exist.
</t>
  </si>
  <si>
    <t>TC02-INTM</t>
  </si>
  <si>
    <t>REQ_INTM_0002</t>
  </si>
  <si>
    <t>AI Interview Feedback Summary</t>
  </si>
  <si>
    <t>Complete an interview and verify the Gen AI feature generates a consolidated/AI summary of interviewer feedback.</t>
  </si>
  <si>
    <t xml:space="preserve">1. User account provisioned with Recruiter role.
2. Gen AI Interview Feedback Summary functionality is enabled and configured in Oracle Recruiting Cloud.
3. At least one requisition exists with a candidate scheduled for multiple interviews.
4. Two or more interviewers are assigned to the interview process.
5. Feedback templates are configured and available for interview feedback submission.
6. All interviewers have access to submit interview feedback.
</t>
  </si>
  <si>
    <t>1. Log in to Oracle Recruiting Cloud as Interviewer 1.
2. Open the assigned interview and submit interview feedback.
3. Log out and log in as Interviewer 2.
4. Open the same candidate interview and submit interview feedback.
5. Log in as Recruiter.
6. Navigate to the candidate application.
7. Verify that all interviewer feedback has been received and recorded.
8. Open the Gen AI Interview Feedback Summary feature.
9. Trigger the generation of the consolidated AI feedback summary.
10. Review the generated summary.
11. Verify that the summary reflects the submitted interviewer feedback.
12. Capture screenshots/evidence and record the Actual Result and Pass/Fail outcome.</t>
  </si>
  <si>
    <t xml:space="preserve">1. Interviewer 1 successfully accesses the assigned interview.
2. Interviewer 1 feedback is submitted successfully.
3. Interviewer 2 successfully accesses the assigned interview.
4. Interviewer 2 feedback is submitted successfully.
5. Recruiter successfully accesses the candidate application.
6. Submitted interviewer feedback is visible on the candidate record.
7. Gen AI Interview Feedback Summary feature is available and accessible.
8. AI-generated summary is created successfully.
9. Consolidated summary includes information from the submitted interviewer feedback records.
10. Summary accurately reflects overall candidate strengths, concerns, recommendations, and key discussion points captured by interviewers.
11. No manual consolidation is required by the recruiter.
</t>
  </si>
  <si>
    <t>TC03-INTM</t>
  </si>
  <si>
    <t>REQ_INTM_0003</t>
  </si>
  <si>
    <t>Candidate Interview Survey</t>
  </si>
  <si>
    <t>Trigger a candidate interview survey at the defined point in CSP and verify it fires at the correct stage/action and captures feedback for follow-up action.</t>
  </si>
  <si>
    <t xml:space="preserve">1. User account provisioned with Recruiter role.
2. Candidate Interview Survey functionality is configured and enabled.
3. Survey trigger point is configured in the Candidate Selection Process (CSP) (for example, after Interview Completion, Interview Scheduling, Interview Feedback Submission, or a specific state change).
4. At least one active requisition exists with a candidate progressing through the interview process.
5. Candidate has a valid email address and is eligible to receive surveys.
6. Survey template and feedback questions are configured.
7. Follow-up action workflow/reporting is configured for survey responses.
</t>
  </si>
  <si>
    <t>1. Log in to Oracle Recruiting Cloud as Recruiter.
2. Open a candidate application that is approaching the configured survey trigger point.
3. Move the candidate to the interview stage/action that is configured to trigger the survey.
4. Complete the required recruiting action (for example, complete interview, submit interview feedback, or move candidate to the next phase).
5. Verify that the interview survey is generated and sent to the candidate.
6. Log in as the candidate or access the survey invitation email.
7. Open and complete the candidate interview survey.
8. Submit the survey response.
9. Log back in as Recruiter.
10. Navigate to the candidate record, survey results area, reporting dashboard, or follow-up action work area.
11. Verify that the submitted survey feedback is available for review.
12. Verify that any configured follow-up action, task, notification, or reporting entry is generated from the survey response.
13. Capture screenshots/evidence and record the Actual Result and Pass/Fail outcome.</t>
  </si>
  <si>
    <t xml:space="preserve">1. Recruiter home page is displayed successfully.
2. Candidate application is accessible.
3. Candidate reaches the configured survey trigger stage/action.
4. Recruiting action is completed successfully.
5. Candidate interview survey is triggered automatically at the configured CSP stage/action.
6. Survey invitation is sent successfully to the candidate.
7. Candidate can access and complete the survey.
8. Survey response is submitted successfully.
9. Recruiter can access the recorded survey feedback.
10. Survey feedback is captured and associated with the correct candidate application.
11. Configured follow-up actions, notifications, reports, or tasks are generated from the submitted feedback where applicable.
</t>
  </si>
  <si>
    <t>TC012-JR</t>
  </si>
  <si>
    <t>REQ_JR_0008</t>
  </si>
  <si>
    <t>Prescreening Question Timing</t>
  </si>
  <si>
    <t>Add/edit prescreening questions on a requisition after it has flowed in from ESA and verify the system allows this per the confirmed configuration option.</t>
  </si>
  <si>
    <t xml:space="preserve">1. User account provisioned with Recruiter role.
2. ESA integration is enabled and requisitions can flow successfully into Oracle Recruiting Cloud.
3. An existing requisition has been created in ESA and successfully imported into Oracle Recruiting Cloud.
4. Prescreening Questions functionality is enabled for the requisition.
5. Recruiter permissions are configured to allow maintenance of prescreening questions after ESA requisition creation.
6. At least one governed prescreening question set exists in the Question Library.
</t>
  </si>
  <si>
    <t>1. Log in to Oracle Recruiting Cloud as Recruiter.
2. Navigate to the Job Requisition &gt; Prescreening Question Timing area relevant to this requirement.
3. Add/edit prescreening questions on a requisition after it has flowed in from ESA.
4. Verify that the system allows this per the confirmed configuration option.
5. Repeat on at least one additional record/scenario to confirm the behavior is consistent and not a one-off result.
6. Capture a screenshot/evidence and record the Actual Result and Pass/Fail outcome.</t>
  </si>
  <si>
    <t>Requirement is fully met using standard ORC configuration — no customization required. Outcome matches: Will we be able to add the prescreening questions once the SO flows into the system from ESA?</t>
  </si>
  <si>
    <t>Reynolds, Devon</t>
  </si>
  <si>
    <t>TC013-JR</t>
  </si>
  <si>
    <t>REQ_JR_0009</t>
  </si>
  <si>
    <t>Candidate Status / Talent Pool</t>
  </si>
  <si>
    <t>Cancel a requisition with candidates at the 'Select' stage and verify they are moved into a Candidate Pool with the correct distinct status, mapped to an alternate open requisition.</t>
  </si>
  <si>
    <t xml:space="preserve">1. User account provisioned with Recruiter role.
2. An active requisition exists with one or more candidates currently in the Select phase/stage
3. Candidate Pool functionality is enabled and configured.
4. Candidate Pool status mapping has been configured for requisition cancellation scenarios.
5. An alternate open requisition exists and is eligible to receive candidates from the cancelled requisition.
6. Recruiter has permission to cancel requisitions and manage candidate pools.
</t>
  </si>
  <si>
    <t>1. Log in to Oracle Recruiting Cloud as Recruiter.
2. Open an active requisition containing one or more candidates in the Select stage
3. Review and record the current phase/status of the candidates.
4. Initiate the requisition cancellation process.
5. Complete and confirm the requisition cancellation.
6. Navigate to the Candidate Pool or Talent Pool area.
7. Search for the candidates who were attached to the cancelled requisition.
8. Verify the candidate status assigned after requisition cancellation.
9. Review the candidate record and identify the alternate open requisition mapping.
10. Open the alternate requisition and verify the candidate association.
11. Capture screenshots/evidence and record the Actual Result and Pass/Fail outcome.</t>
  </si>
  <si>
    <t xml:space="preserve">1. Recruiter home page is displayed successfully.
2. Active requisition opens and candidates in the Select stage are visible. 
3. Candidate phase/status is displayed correctly before cancellation.
4. Requisition cancellation process completes successfully.
5. Cancelled requisition is no longer available for active recruiting activity.
6. Candidates from the cancelled requisition are moved to the configured Candidate Pool.
7. Candidates are assigned the correct distinct status configured for requisition cancellation scenarios.
8. Candidate records remain active and no candidate data is lost during the transition.
9. Candidates are mapped to the designated alternate open requisition according to the configured business rules.
10. Alternate requisition displays the transferred candidates successfully.
</t>
  </si>
  <si>
    <t>TC014-JR</t>
  </si>
  <si>
    <t>REQ_JR_0010</t>
  </si>
  <si>
    <t>Application Flow / Interview Questions</t>
  </si>
  <si>
    <t>Create a requisition and verify the pre-defined/hardcoded application and interview questions populate automatically</t>
  </si>
  <si>
    <t xml:space="preserve">1. User account provisioned with Recruiter role.
2. Requisition templates or recruiting configurations are configured with predefined application questions and interview questions.
3. Question Library contains the approved question sets mapped to the requisition type, job family, business unit, or recruiting process.
4. Recruiter has permission to create job requisitions.
</t>
  </si>
  <si>
    <t>1. Log in to Oracle Recruiting Cloud as Recruiter.
2. Navigate to Recruiting &gt; Job Requisitions.
3. Create a new job requisition.
4. Complete the mandatory requisition details and select the applicable requisition template or configuration.
5. Save the requisition.
6. Navigate to the Application Questions section.
7. Review the application questions associated with the requisition.
8. Navigate to the Interview Questions or Interview Setup section.
9. Review the interview questions associated with the requisition.
10. Verify whether the predefined question sets were automatically populated.
11. Capture screenshots/evidence and record the Actual Result and Pass/Fail outcome.</t>
  </si>
  <si>
    <t xml:space="preserve">1. Recruiter home page is displayed successfully.
2. Job Requisitions work area opens successfully.
3. New requisition creation page opens successfully.
4. Requisition details are entered successfully.
5. Requisition is saved successfully.
6. Application Questions section is accessible.
7. Predefined application questions are automatically populated based on the configured requisition template or business rules.
8. Interview Questions section is accessible.
9. Predefined interview questions are automatically populated based on the configured requisition template or business rules.
10. No manual addition of the configured question sets is required.
</t>
  </si>
  <si>
    <t>Arockiasamy, Arun Prasad Coroiu, Alina</t>
  </si>
  <si>
    <t>TC015-JR</t>
  </si>
  <si>
    <t>Recruiter should not be able to fill interview questions manually in application flow/CSP</t>
  </si>
  <si>
    <t xml:space="preserve">1. User account provisioned with Recruiter role.
2. A requisition exists with predefined interview questions and prescreening questions automatically populated through the configured Question Library, Application Flow, or CSP setup.
3. Configuration is set so that recruiters are not permitted to manually add, edit, answer, or complete interview questions within the Application Flow or Candidate Selection Process (CSP).
4. At least one candidate application exists for the requisition.
</t>
  </si>
  <si>
    <t>1. Log in to Oracle Recruiting Cloud as Recruiter.
2. Open a requisition that contains predefined interview questions.
3. Navigate to the Application Flow or Candidate Selection Process (CSP) configuration associated with the requisition.
4. Open the Interview Questions section.
5. Attempt to manually enter responses to the interview questions.
6. Attempt to edit existing interview question content.
7. Attempt to add additional interview questions directly within the Application Flow or CSP.
8. Attempt to save any manual changes made to the interview questions.
9. Observe the system response and review field accessibility.
10. Capture screenshots/evidence and record the Actual Result and Pass/Fail outcome.</t>
  </si>
  <si>
    <t xml:space="preserve">1. Recruiter home page is displayed successfully.
2. Requisition details open successfully.
3. Application Flow or CSP configuration is accessible according to recruiter permissions.
4. Interview Questions section is displayed.
5. Recruiter is unable to manually answer interview questions within the Application Flow or CSP.
6. Interview question content cannot be edited if restricted by the configured governance rules.
7. Recruiter cannot manually add interview questions outside the approved question library or configured process.
8. System prevents unauthorized modifications and does not save restricted changes.
9. Interview questions remain controlled by the configured governance model and can only be managed through approved configuration methods.
</t>
  </si>
  <si>
    <t>TC01-JO</t>
  </si>
  <si>
    <t>REQ_JO_0001</t>
  </si>
  <si>
    <t>Job Offer</t>
  </si>
  <si>
    <t>Offer Field Configuration</t>
  </si>
  <si>
    <t>Create an offer with job code and fitment fields tied to grade/benefits/title, and verify these fields are editable/configurable per field-level security, including new codes uploaded via SO integration.</t>
  </si>
  <si>
    <t xml:space="preserve">1. User account provisioned with Recruiter role and offer management access.
2. Job Code, Grade, Benefits, Job Title, and Fitment fields are configured on the offer process.
3. Field-level security configuration is implemented for the above fields.
4. SO integration is enabled and configured to load new job codes into Oracle Recruiting Cloud.
5. At least one new job code has been successfully loaded via SO integration and is available in the system.
6. At least one candidate exists in Offer phase.
</t>
  </si>
  <si>
    <t>1. Log in to Oracle Recruiting Cloud as Recruiter.
2. Open a candidate application that is ready for offer creation.
3. Create a new offer.
4. Navigate to the section containing Job Code, Grade, Benefits, Job Title, and Fitment fields.
5. Select an existing job code and review the related Grade, Benefits, and Job Title fields.
6. Verify whether the configured fields are editable based on the user's field-level security permissions.
7. Update the editable fields where permitted.
8. Search for and select a newly loaded job code received through SO integration.
9. Verify that the associated Grade, Benefits, Job Title, and Fitment values are available and populated according to the configuration.
10. Save the offer.
11. Reopen the offer and verify the saved values.
12. Capture screenshots/evidence and record the Actual Result and Pass/Fail outcome.</t>
  </si>
  <si>
    <t xml:space="preserve">1. Recruiter home page is displayed successfully.
2. Candidate application is accessible and eligible for offer creation.
3. Offer creation page opens successfully.
4. Job Code, Grade, Benefits, Job Title, and Fitment fields are displayed.
5. Existing job code values are available for selection.
6. Field editability follows the configured field-level security rules.
7. Users can edit only the fields permitted by their role and security configuration.
8. Newly uploaded job codes from the SO integration are available for selection.
9. Grade, Benefits, Job Title, and Fitment information associated with the selected job code are displayed correctly according to the configuration.
10. Offer saves successfully without validation errors.
11. Saved values are retained after reopening the offer.
</t>
  </si>
  <si>
    <t>TC016-JR</t>
  </si>
  <si>
    <t>REQ_JR_0011</t>
  </si>
  <si>
    <t>Requisition Types / Workflow Customization</t>
  </si>
  <si>
    <t>Create a Demand RR and a Sourcing RR using their distinct templates/workflows and verify each follows its own configured approval flow.</t>
  </si>
  <si>
    <t xml:space="preserve">1. User account provisioned with Recruiter or Requestor role authorized to create Recruitment Requests (RRs).
2. Demand RR template is configured and active in the system.
3. Sourcing RR template is configured and active in the system.
4. Separate approval workflows are configured for Demand RR and Sourcing RR.
5. All required approver users are active and available in the test environment.
6. User has access to create both Demand RR and Sourcing RR records.
</t>
  </si>
  <si>
    <t>1. Log in to Oracle Recruiting Cloud as Recruiter/Requestor.
2. Navigate to the Recruitment Request (RR) creation page.
3. Create a Demand RR using the configured Demand RR template.
4. Complete all mandatory fields and submit the Demand RR.
5. Record the approval workflow and approvers assigned to the Demand RR.
6. Verify the Demand RR status after submission.
7. Navigate back to the Recruitment Request (RR) creation page.
8. Create a Sourcing RR using the configured Sourcing RR template.
9. Complete all mandatory fields and submit the Sourcing RR.
10. Record the approval workflow and approvers assigned to the Sourcing RR.
11. Verify the Sourcing RR status after submission.
12. Compare the approval routing of the Demand RR and Sourcing RR.
13. Capture screenshots/evidence and record the Actual Result and Pass/Fail outcome.</t>
  </si>
  <si>
    <t xml:space="preserve">1. Recruiter/Requestor home page is displayed successfully.
2. Recruitment Request creation page opens successfully.
3. Demand RR template is available for selection.
4. Demand RR is created and submitted successfully.
5. Demand RR is routed through its configured approval workflow and assigned to the appropriate approver(s).
6. Demand RR status reflects the approval process accurately.
7. Recruitment Request creation page remains accessible.
8. Sourcing RR template is available for selection.
9. Sourcing RR is created and submitted successfully.
10. Sourcing RR is routed through its configured approval workflow and assigned to the appropriate approver(s).
11. Sourcing RR status reflects the approval process accurately.
12. Demand RR and Sourcing RR follow their respective configured approval paths, which may differ in approvers, approval levels, or routing logic.
</t>
  </si>
  <si>
    <t>TC017-JR</t>
  </si>
  <si>
    <t>REQ_JR_0012</t>
  </si>
  <si>
    <t>AI JD Creation &amp; Reporting</t>
  </si>
  <si>
    <t>Generate a job description using the Gen AI JD creation feature and verify the requisition-wise funnel view report renders correctly in OTBI.</t>
  </si>
  <si>
    <t xml:space="preserve">1. User account provisioned with Recruiter role.
2. Gen AI Job Description generation feature is enabled and available.
3. Recruiter has permission to create job requisitions and generate Job Descriptions.
4. OTBI access is available for the Recruiter or Reporting user.
5. Requisition-wise Funnel View report is configured and available in OTBI.
6. At least one candidate application exists or test data is available to support funnel reporting.
</t>
  </si>
  <si>
    <t>1. Log in to Oracle Recruiting Cloud as Recruiter.
2. Navigate to Recruiting &gt; Job Requisitions.
3. Create a new requisition or open a draft requisition.
4. Enter the required requisition details.
5. Click the "Generate JD using AI" option.
6. Review the AI-generated Job Description.
7. Save the requisition.
8. Navigate to Reports and Analytics (OTBI).
9. Open the Requisition-wise Funnel View report.
10. Search for and select the requisition for which the AI-generated Job Description was created.
11. Run the report.
12. Review the funnel metrics and report rendering.
13. Verify that the requisition appears correctly in the funnel report.
14. Capture screenshots/evidence and record the Actual Result and Pass/Fail outcome.</t>
  </si>
  <si>
    <t xml:space="preserve">1. Recruiter home page is displayed successfully.
2. Job Requisitions work area opens successfully.
3. Requisition creation or edit page opens successfully.
4. Required requisition details are entered successfully.
5. Gen AI Job Description generation feature is available and can be invoked.
6. AI-generated Job Description is created successfully and displayed to the recruiter.
7. Requisition is saved successfully with the generated Job Description.
8. Reports and Analytics (OTBI) is accessible.
9. Requisition-wise Funnel View report opens successfully.
10. The requisition is available for selection in the report.
11. Report executes successfully without errors.
12. Funnel metrics and visualisations render correctly.
13. The requisition is displayed correctly in the funnel report along with the associated funnel-stage information available in the environment.
</t>
  </si>
  <si>
    <t>TC018-JR</t>
  </si>
  <si>
    <t>REQ_JR_0013 &amp; REQ_JR_0015</t>
  </si>
  <si>
    <t>Agency Posting Approval</t>
  </si>
  <si>
    <t>GAP</t>
  </si>
  <si>
    <t>Have an agency update posting details and verify the change is routed through the delivered approval workflow (or documented interim manual review), per Oracle's recommended workaround.</t>
  </si>
  <si>
    <t xml:space="preserve">1. Agency user account is provisioned and has access to agency-managed job postings.
2. A job requisition and associated posting already exist and are assigned to the agency.
3. Posting update approval workflow is configured, or a documented manual review process exists as the approved workaround.
4. Recruiter and/or approver accounts are available to review posting changes.
5. Agency portal integration and job posting functionality are active.
</t>
  </si>
  <si>
    <t>1. Log in to Oracle Recruiting Cloud (or Agency Portal) as an Agency User.
2. Open an existing job posting assigned to the agency.
3. Modify one or more posting details such as Job Description, Responsibilities, Qualifications, or Posting Content.
4. Save or submit the posting updates.
5. Observe the system response after submission.
6. Verify whether the update is routed for approval or review.
7. Log in as the designated recruiter/approver.
8. Review the pending posting update request.
9. Approve (or review according to the documented workaround process) the posting update.
10. Return to the job posting and verify the updated content.
11. Capture screenshots/evidence and record the Actual Result and Pass/Fail outcome.</t>
  </si>
  <si>
    <t xml:space="preserve">1. Agency user successfully accesses the assigned job posting.
2. Job posting details are available for update.
3. Posting changes are entered successfully.
4. Posting update is submitted successfully.
5. System routes the update through the configured approval workflow or documented manual review process.
6. Recruiter/approver receives the update request for review.
7. Posting changes remain pending until review/approval is completed, where applicable.
8. Approved posting changes are applied successfully to the job posting.
9. No unauthorized posting updates bypass the configured review or approval process.
</t>
  </si>
  <si>
    <t>TC019-JR</t>
  </si>
  <si>
    <t>REQ_JR_0014</t>
  </si>
  <si>
    <t>Confidential Job Posting</t>
  </si>
  <si>
    <t>Create a confidential/executive job posting and verify visibility is restricted to only the designated TAG members who own it.</t>
  </si>
  <si>
    <t xml:space="preserve">1. User account provisioned with Recruiter or TAG member role authorized to create confidential/executive requisitions.
2. Confidential/Executive requisition configuration is enabled in Oracle Recruiting Cloud.
3. At least two designated TAG members are assigned ownership/access to confidential requisitions.
4. A second recruiter or recruiting user exists who is not part of the designated TAG ownership group.
5. Security roles, data security policies, and requisition visibility rules are configured for confidential requisitions.
</t>
  </si>
  <si>
    <t>1. Log in to Oracle Recruiting Cloud as an authorized TAG member.
2. Create a new confidential/executive job requisition.
3. Complete all mandatory requisition fields.
4. Assign the requisition to the designated TAG owner(s).
5. Save and submit the requisition.
6. Verify that the requisition is visible to the designated TAG member.
7. Log out and log in as a second designated TAG member.
8. Search for and open the confidential/executive requisition.
9. Verify that the requisition is accessible.
10. Log out and log in as a recruiter or recruiting user who is not part of the designated TAG ownership group.
11. Search for the confidential/executive requisition.
12. Attempt to open the requisition through search results, navigation, or direct URL access.
13. Observe the system response.
14. Capture screenshots/evidence and record the Actual Result and Pass/Fail outcome.</t>
  </si>
  <si>
    <t xml:space="preserve">1. Authorized TAG member successfully logs in to Oracle Recruiting Cloud.
2. Confidential/Executive requisition is created successfully.
3. Requisition details are saved successfully.
4. Designated TAG owners are assigned successfully.
5. Requisition is submitted successfully.
6. Confidential/Executive requisition is visible to the designated TAG member.
7. Second designated TAG member successfully logs in.
8. Confidential/Executive requisition is visible and accessible to the second designated TAG member.
9. Requisition details display successfully for authorized TAG users.
10. Unauthorized recruiter/recruiting user successfully logs in.
11. Confidential/Executive requisition does not appear in search results for unauthorized users, or access is restricted according to security configuration.
12. Unauthorized user cannot open the requisition through direct navigation or URL access.
13. Appropriate security or access-denied messaging is displayed where applicable.
</t>
  </si>
  <si>
    <t>Business stakeholders</t>
  </si>
  <si>
    <t>TC020-JR</t>
  </si>
  <si>
    <t>Unauthorized role should not see Confidential requisition</t>
  </si>
  <si>
    <t xml:space="preserve">1. A confidential/executive requisition exists in Oracle Recruiting Cloud.
2. The requisition is assigned only to designated TAG users.
3. User account is provisioned with a role that does NOT have access to confidential requisitions.
4. Security roles, data security policies, and requisition visibility rules are configured for confidential requisitions.
</t>
  </si>
  <si>
    <t>1. Log in to Oracle Recruiting Cloud as a user who is not authorized to access confidential requisitions.
2. Navigate to Recruiting &gt; Job Requisitions.
3. Search for the confidential requisition using requisition number, title, or keywords.
4. Review the search results.
5. Attempt to locate the requisition using filters, dashboards, or saved searches.
6. Attempt to open the requisition through a direct URL or bookmarked link (if available).
7. Observe the system response.
8. Capture screenshots/evidence and record the Actual Result and Pass/Fail outcome.</t>
  </si>
  <si>
    <t xml:space="preserve">1. Unauthorized user logs in successfully.
2. Recruiting work area opens according to the user's assigned permissions.
3. Confidential requisition does not appear in requisition search results.
4. Confidential requisition is not visible through filters, dashboards, or saved searches.
5. User cannot access the confidential requisition through direct navigation.
6. Direct URL or bookmarked-link access is blocked by security controls.
7. Appropriate access-denied or insufficient-privileges message is displayed where applicable.
</t>
  </si>
  <si>
    <t>TC04-INTM</t>
  </si>
  <si>
    <t>REQ_INTM_0004</t>
  </si>
  <si>
    <t>Hybrid Interview Scheduling</t>
  </si>
  <si>
    <t>Schedule interviews using onsite, virtual (MS Teams/Google), and phone options and verify each hybrid interview type schedules and displays correctly.</t>
  </si>
  <si>
    <t xml:space="preserve">1. User account provisioned with Recruiter role and interview scheduling permissions.
2. Interview scheduling functionality is enabled in Oracle Recruiting Cloud.
3. Integration with Microsoft Teams and/or Google Meet is configured and active, where applicable.
4. At least three candidate applications exist and are eligible for interview scheduling.
5. Onsite interview locations and interview panel members are configured.
6. Recruiter has permission to schedule Onsite, Virtual, and Phone interview types.
</t>
  </si>
  <si>
    <t>1. Log in to Oracle Recruiting Cloud as Recruiter.
2. Navigate to:Navigator &gt; Recruiting &gt; Candidates.
3. Search for Candidate A and open the candidate application.
4. Click Actions &gt; Schedule Interview.
5. Select Interview Type = Onsite, enter date, time, interviewers, and location, then schedule the interview.
6. Verify the interview is created and displays as an Onsite interview.
7. Search for Candidate B and open the candidate application.
8. Click Actions &gt; Schedule Interview.
9. Select Interview Type = Virtual (Microsoft Teams or Google Meet), enter date, time, interviewers, generate the meeting link, and schedule the interview.
10. Verify the interview displays with the correct virtual meeting information.
11. Search for Candidate C, open the candidate application, and schedule a Phone interview with the required date, time, and interviewer details.
12. Verify the Phone interview displays correctly in the Interviews section.
13. Review all three interviews from the candidate records/interview schedule.
14. Capture screenshots and record Actual Result and Pass/Fail..</t>
  </si>
  <si>
    <t xml:space="preserve">1. Recruiter successfully accesses the candidate records and interview scheduling page.
2. Onsite interview is scheduled and displays the correct location, date, time, and interviewers.
3. Virtual interview is scheduled successfully and displays the correct Microsoft Teams/Google Meet meeting details and link.
4. Phone interview is scheduled successfully and displays the correct interview details.
5. All interview types are visible in the candidate interview records and display according to the configured interview type.
</t>
  </si>
  <si>
    <t>Oracle / Tech Team</t>
  </si>
  <si>
    <t>TC05-INTM</t>
  </si>
  <si>
    <t>REQ_INTM_0005</t>
  </si>
  <si>
    <t>Interview Scheduling Control</t>
  </si>
  <si>
    <t>Schedule an interview using both Recruiter-managed and Candidate-managed scheduling options and verify each control mode functions correctly.</t>
  </si>
  <si>
    <t xml:space="preserve">1. User account provisioned with Recruiter role.
2. Candidate Self-Scheduling functionality is enabled.
3. At least two candidates are in an interview-eligible phase.
4. Interviewers have availability configured in the system.
</t>
  </si>
  <si>
    <t>1. Log in to Oracle Recruiting Cloud as Recruiter.
2. Navigate to Recruiting &gt; Candidates.
3. Open Candidate A and click Actions &gt; Schedule Interview.
4. Select Recruiter-Managed Scheduling, enter interview details, and schedule the interview.
5. Verify the interview is created successfully.
6. Open Candidate B and click Actions &gt; Schedule Interview.
7. Select Candidate-Managed Scheduling (Self-Scheduling).
8. Define interviewer availability and send the scheduling invitation.
9. Log in as the candidate (or access the scheduling link).
10. Select an available interview slot and confirm the interview.
11. Return to Oracle Recruiting Cloud as Recruiter.
12. Verify the interview appears on the candidate record with the selected schedule.
13. Capture screenshots and record Actual Result and Pass/Fail.</t>
  </si>
  <si>
    <t>1. Recruiter successfully schedules the interview for Candidate A.
2. Recruiter-managed interview displays the correct date, time, and interviewers.
3. Candidate-managed scheduling invitation is sent successfully.
4. Candidate can select and confirm an available interview slot.
5. Confirmed interview is automatically created in the candidate record.
6. Both Recruiter-managed and Candidate-managed scheduling modes function according to configuration and display the correct interview details.</t>
  </si>
  <si>
    <t>TC01-CE</t>
  </si>
  <si>
    <t>REQ_CE-0002</t>
  </si>
  <si>
    <t>Candidate Experience</t>
  </si>
  <si>
    <t>Career Site Branding</t>
  </si>
  <si>
    <t>View a job posting on the Career Site and verify the standardized employer branding content displays correctly per the configured CMS block.</t>
  </si>
  <si>
    <t xml:space="preserve">1. User account provisioned with Candidate or External Career Site access.
2. Career Site is active and accessible.
3. CMS branding content block is configured and published.
4. At least one active job posting exists on the Career Site.
</t>
  </si>
  <si>
    <t>1. Open the Career Site.
2. Search for and open an active job posting.
3. Review the job posting page.
4. Navigate to the section where employer branding content is expected to appear.
5. Verify the CMS branding block is displayed.
6. Review branding content such as company information, culture messaging, images, videos, or promotional content.
7. Refresh the page and reopen another job posting.
8. Verify branding content displays consistently.
9. Capture screenshots/evidence and record the Actual Result and Pass/Fail outcome.</t>
  </si>
  <si>
    <t xml:space="preserve">1. Career Site opens successfully.
2. Job posting is displayed successfully.
3. CMS-based employer branding content is visible on the job posting.
4. Branding content displays the configured text, images, and media correctly.
5. Branding content is rendered consistently across job postings where applicable.
6. No formatting, display, or content-loading issues are observed.
</t>
  </si>
  <si>
    <t>TC01-INT</t>
  </si>
  <si>
    <t>REQ_ING_0001</t>
  </si>
  <si>
    <t>Integration</t>
  </si>
  <si>
    <t>Agency Usage Restrictions</t>
  </si>
  <si>
    <t>Have an agency scoped to a specific job family/location attempt to view or submit against a requisition inside that scope and verify access is correctly visible.</t>
  </si>
  <si>
    <t xml:space="preserve">1. Agency user account is provisioned and active.
2. Agency access is restricted to a specific Job Family and Location.
3. At least one requisition exists within the agency's assigned Job Family and Location scope.
4. Agency submission functionality is enabled.
5. Test candidate details are available for submission.
</t>
  </si>
  <si>
    <t>1. Log in to Oracle Recruiting Cloud (or Agency Portal) as the Agency User.
2. Navigate to Agency Requisitions.
3. Search for requisitions within the assigned Job Family and Location.
4. Open a requisition that falls within the agency's configured scope.
5. Review requisition details.
6. Click Submit Candidate (or equivalent agency submission action).
7. Enter candidate details and complete required fields.
8. Submit the candidate against the requisition.
9. Verify submission status and associated requisition details.
10. Capture screenshots/evidence and record Actual Result and Pass/Fail.</t>
  </si>
  <si>
    <t xml:space="preserve">1. Agency user logs in successfully.
2. Requisitions within the assigned Job Family and Location are visible.
3. In-scope requisition details are accessible.
4. Candidate submission option is available.
5. Candidate is submitted successfully against the requisition.
6. Submission is associated with the correct requisition.
</t>
  </si>
  <si>
    <t>TC02-INT</t>
  </si>
  <si>
    <t>Have an agency scoped to a specific job family/location attempt to view or submit against a requisition outside that scope and verify access is correctly restricted.</t>
  </si>
  <si>
    <t xml:space="preserve">1. Agency user account is provisioned and active.
2. Agency access is restricted to a specific Job Family and Location.
3. At least one requisition exists outside the agency's assigned Job Family and/or Location scope.
4. Agency submission functionality is enabled.
5. Test candidate details are available for submission testing.
</t>
  </si>
  <si>
    <t>1. Log in to Oracle Recruiting Cloud (or Agency Portal) as the Agency User.
2. Navigate to Agency Requisitions.
3. Search for a requisition that is outside the agency's assigned Job Family or Location scope.
4. Review the search results.
5. Attempt to open the out-of-scope requisition.
6. If accessible, attempt to use the Submit Candidate action.
7. Enter candidate details and attempt to submit.
8. Observe the system response.
9. Capture screenshots/evidence and record Actual Result and Pass/Fail.</t>
  </si>
  <si>
    <t xml:space="preserve">1. Agency user logs in successfully.
2. Out-of-scope requisitions are not displayed in search results, or visibility is restricted.
3. Agency user cannot access requisition details outside the assigned scope.
4. Candidate submission option is unavailable or restricted for out-of-scope requisitions.
5. Candidate submission cannot be completed against an out-of-scope requisition.
6. Appropriate security or access-denied message is displayed where applicable.
</t>
  </si>
  <si>
    <t>TC06-INTM</t>
  </si>
  <si>
    <t>REQ_INTM_0009</t>
  </si>
  <si>
    <t>Panel Profile Sharing</t>
  </si>
  <si>
    <t>Schedule an interview with panel members and verify the candidate's resume/profile is shared via the interview scheduling notification template, with the sharing action correctly tracked.</t>
  </si>
  <si>
    <t xml:space="preserve">1. User account provisioned with Recruiter role.
2. Candidate application exists and is in an interview-eligible phase.
3. Candidate resume/profile is attached and available in Oracle Recruiting Cloud.
4. Interview scheduling notification template is configured to include candidate resume/profile sharing.
5. At least two interview panel members are available and have valid email addresses.
6. Tracking/audit functionality for candidate profile sharing is enabled.
</t>
  </si>
  <si>
    <t>1. Log in to Oracle Recruiting Cloud as Recruiter.
2. Navigate to Recruiting &gt; Candidates and open the candidate application.
3. Click Actions &gt; Schedule Interview.
4. Select interview type, date, time, and panel members.
5. Verify the option to share candidate resume/profile is enabled (if applicable).
6. Schedule the interview.
7. Verify interview scheduling notifications are sent to all panel members.
8. Open the interview notification received by a panel member.
9. Verify the candidate resume/profile is included, attached, or accessible through the notification.
10. Return to Oracle Recruiting Cloud and review the interview activity/history/audit details.
11. Verify the resume/profile sharing action is tracked.
12. Capture screenshots/evidence and record Actual Result and Pass/Fail.</t>
  </si>
  <si>
    <t xml:space="preserve">1. Candidate interview is scheduled successfully.
2. Interview scheduling notifications are sent to all panel members.
3. Candidate resume/profile is shared through the configured interview notification template.
4. Panel members can access the candidate resume/profile from the notification.
5. Resume/profile sharing is recorded in the system activity, history, or audit trail.
</t>
  </si>
  <si>
    <t>Project Team</t>
  </si>
  <si>
    <t>TC02-CE</t>
  </si>
  <si>
    <t>REQ_CE-0003</t>
  </si>
  <si>
    <t>Talent Profile / Qualifications</t>
  </si>
  <si>
    <t>Populate a candidate's Talent Profile in HCM (degree, license, certification, language, work experience, skills) and verify all fields correctly display to recruiters and candidates in ORC.</t>
  </si>
  <si>
    <t xml:space="preserve">1. User account provisioned with HR Specialist/HCM Administrator role.
2. Recruiter user account is available.
3. Candidate user account is available.
4. Talent Profile feature is enabled and integrated with Oracle Recruiting Cloud.
5. Test candidate record exists in HCM and ORC.
</t>
  </si>
  <si>
    <t>1. Log in to Oracle HCM as HR Specialist.
2. Navigate to:My Client Groups &gt; Profiles &gt; Talent Profiles.
3. Search for the test candidate and open the Talent Profile.
4. Populate/update Degree, License, Certification, Language, Work Experience, and Skills information.
5. Save the Talent Profile.
6. Log in to Oracle Recruiting Cloud as Recruiter.
7. Search for and open the candidate profile.
8. Verify the Talent Profile information is displayed.
9. Log in as the candidate.
10. Navigate to Profile and review Talent Profile details.
11. Verify all profile sections are visible and display the latest information.
12. Capture screenshots and record Actual Result and Pass/Fail.</t>
  </si>
  <si>
    <t xml:space="preserve">1. Talent Profile updates are saved successfully in HCM.
2. Degree, License, Certification, Language, Work Experience, and Skills information are available in ORC.
3. Recruiter can view the updated Talent Profile information on the candidate record.
4. Candidate can view the same Talent Profile information in their profile.
5. Profile data is displayed consistently across HCM and ORC without missing or incorrect values.
</t>
  </si>
  <si>
    <t>TC02-JO</t>
  </si>
  <si>
    <t>REQ_JO_0002</t>
  </si>
  <si>
    <t>Offer Letter Compliance (Job Description)</t>
  </si>
  <si>
    <t>Generate an offer letter for a country requiring job description disclosure and verify the job description token/merge field correctly populates the full job description before the offer is extended.</t>
  </si>
  <si>
    <t xml:space="preserve">1. User account provisioned with Recruiter role.
2. Offer letter template is configured with a Job Description merge field/token.
3. Country-specific offer letter template requiring Job Description disclosure is active.
4. A requisition exists with a completed Job Description.
5. A candidate is in Offer phase and eligible for offer creation.
</t>
  </si>
  <si>
    <t>1. Log in to Oracle Recruiting Cloud as Recruiter.
2. Navigate to Recruiting &gt; Candidates.
3. Open a candidate application in Offer phase.
4. Click Create Offer.
5. Select the applicable country-specific offer template.
6. Complete the required offer details and generate the offer letter.
7. Open the generated offer letter preview.
8. Locate the Job Description section.
9. Verify the Job Description merge field/token has been resolved.
10. Review the populated Job Description content.
11. Extend or prepare the offer for approval (without sending if test policy requires).
12. Capture screenshots/evidence and record Actual Result and Pass/Fail.</t>
  </si>
  <si>
    <t xml:space="preserve">1. Offer creation page opens successfully.
2. Country-specific offer template is available for selection.
3. Offer letter is generated successfully.
4. Job Description merge field/token is resolved correctly.
5. Full Job Description from the requisition is populated in the offer letter.
6. No blank, unresolved, or incorrect merge field values are displayed.
</t>
  </si>
  <si>
    <t>(Anil, Meenakshi)</t>
  </si>
  <si>
    <t>TC03-JO</t>
  </si>
  <si>
    <t>REQ_JO_0003</t>
  </si>
  <si>
    <t>Pay Transparency (Salary Range Display)</t>
  </si>
  <si>
    <t>Critical</t>
  </si>
  <si>
    <t>Post a job requisition for a state/city/country with pay transparency requirements and verify the min/max/median salary range displays correctly on the job posting per that location's rule.</t>
  </si>
  <si>
    <t xml:space="preserve">1. User account provisioned with Recruiter role.
2. Pay Transparency configuration is enabled for the applicable state/city/country.
3. Salary range fields (Minimum, Maximum, and Median, if applicable) are configured on the requisition.
4. At least one location with pay transparency requirements is configured in the system.
5. Career Site posting functionality is active.
</t>
  </si>
  <si>
    <t>1. Log in to Oracle Recruiting Cloud as Recruiter.
2. Navigate to Recruiting &gt; Job Requisitions.
3. Create or open a requisition for a pay-transparency location.
4. Enter the required salary range details.
5. Submit and post the requisition to the Career Site.
6. Open the Career Site.
7. Search for and open the posted job requisition.
8. Review the compensation/pay transparency section of the job posting.
9. Verify the displayed salary range information.
10. Capture screenshots/evidence and record Actual Result and Pass/Fail.</t>
  </si>
  <si>
    <t xml:space="preserve">1. Requisition is created and posted successfully.
2. Job posting is visible on the Career Site.
3. Pay transparency information is displayed on the job posting.
4. Minimum, Maximum, and Median salary values (where configured) display correctly.
5. Salary range information matches the values configured on the requisition.
</t>
  </si>
  <si>
    <t>Anil, Lisa, Rohit</t>
  </si>
  <si>
    <t>TC04-JO</t>
  </si>
  <si>
    <t>REQ_JO_0004</t>
  </si>
  <si>
    <t>Compensation Automation</t>
  </si>
  <si>
    <t>Create an offer for a candidate at a specific level/role/country and verify variable pay components (fixed bonus, relocation allowance, etc.) auto-populate correctly on the offer letter without manual entry</t>
  </si>
  <si>
    <t xml:space="preserve">1. User account provisioned with Recruiter role and offer creation access.
2. Offer templates and compensation rules are configured.
3. Variable pay components (e.g., Fixed Bonus, Relocation Allowance, Sign-on Bonus) are configured based on Country, Level, Role, or Grade.
4. A candidate is available in Offer phase.
5. The selected Level/Role/Country combination has predefined variable pay rules configured.
</t>
  </si>
  <si>
    <t>1. Log in to Oracle Recruiting Cloud as Recruiter.
2. Navigate to Recruiting &gt; Candidates.
3. Open a candidate application in Offer phase.
4. Click Create Offer.
5. Select the applicable Country, Role, Level/Grade, and Offer Template.
6. Complete the mandatory offer details and proceed to compensation details.
7. Review the variable pay section of the offer.
8. Generate the offer letter.
9. Open the offer preview and review compensation components.
10. Verify whether the variable pay values were automatically populated.
11. Save the offer.
12. Capture screenshots/evidence and record Actual Result and Pass/Fail.</t>
  </si>
  <si>
    <t xml:space="preserve">1. Offer creation page opens successfully.
2. Country, Role, and Level/Grade selections are accepted.
3. Variable pay components are automatically populated based on configured business rules.
4. Fixed Bonus, Relocation Allowance, and other applicable components display without manual entry.
5. Offer letter displays the correct variable pay values.
6. No manual update is required for configured compensation components.
</t>
  </si>
  <si>
    <t>TC05-JO</t>
  </si>
  <si>
    <t>REQ_JO_0005</t>
  </si>
  <si>
    <t>Compensation / Salary Integration</t>
  </si>
  <si>
    <t>Create an offer for a role and verify the bonus and salary range auto-calculate from the extended Salary Basis/Compensation configuration in HCM</t>
  </si>
  <si>
    <t>1. User account provisioned with Recruiter role and offer creation access.
2. Salary Basis and Compensation configurations are defined in Oracle HCM.
3. Bonus calculations are configured based on Job, Grade, Level, or Salary Basis rules.
4. A candidate is available in Offer phase.
5. The selected role has an associated Salary Basis and compensation configuration.</t>
  </si>
  <si>
    <t>1. Log in to Oracle Recruiting Cloud as Recruiter.
2. Navigate to Recruiting &gt; Candidates.
3. Open a candidate application in Offer phase.
4. Click Create Offer.
5. Select the applicable Role, Grade, Job Code, and Salary Basis.
6. Complete the mandatory offer details.
7. Navigate to the Compensation section.
8. Review the proposed salary and bonus values.
9. Generate the offer letter.
10. Review the compensation details in the offer preview.
11. Save the offer.
12. Capture screenshots/evidence and record Actual Result and Pass/Fail.</t>
  </si>
  <si>
    <t xml:space="preserve">1. Offer creation page opens successfully.
2. Role, Grade, Job Code, and Salary Basis selections are accepted.
3. Salary range is automatically derived from the configured Salary Basis and Compensation setup.
4. Bonus amount is automatically calculated based on the configured compensation rules.
5. Compensation values display correctly in the offer and offer letter.
6. No manual calculation or entry is required for configured salary or bonus components.
</t>
  </si>
  <si>
    <t>TC06-JO</t>
  </si>
  <si>
    <t>REQ_JO_0006</t>
  </si>
  <si>
    <t>create offers for each country and verify the correct geo-specific fields ,e.g Exempt/non exempt</t>
  </si>
  <si>
    <t xml:space="preserve">1. User account provisioned with Recruiter role and offer creation access.
2. Geo-specific offer fields (e.g., Exempt/Non-Exempt, Employment Type, Work Authorisation, Notice Period, etc.) are configured by country.
3. Candidates are available in Offer phase.
4. At least one test country-specific offer template exists for each country being tested.
</t>
  </si>
  <si>
    <t>1. Log in to Oracle Recruiting Cloud as Recruiter.
2. Navigate to Recruiting &gt; Candidates.
3. Open a candidate in Offer phase.
4. Click Create Offer.
5. Select Country A and complete the mandatory offer details.
6. Review the offer fields and verify country-specific fields are displayed.
7. Save or preview the offer.
8. Repeat the process for Country B and Country C (or other configured countries).
9. Review the geo-specific fields displayed for each country.
10. Verify field values and available options.
11. Generate the offer preview for each country.
12. Capture screenshots/evidence and record Actual Result and Pass/Fail.</t>
  </si>
  <si>
    <t xml:space="preserve">1. Offer creation page opens successfully for each country.
2. Country-specific offer fields are displayed according to the selected country configuration.
3. Applicable fields such as Exempt/Non-Exempt and other geo-specific attributes are available where required.
4. Field values, picklists, and validations correspond to the selected country.
5. Offer previews display the correct geo-specific information.
</t>
  </si>
  <si>
    <t>TC021-JR</t>
  </si>
  <si>
    <t>REQ_JR_0018</t>
  </si>
  <si>
    <t>Job Posting Alerts</t>
  </si>
  <si>
    <t>Run the custom BIP report for job posting duration and verify it accurately shows the number of days each requisition has been posted, correctly broken down by posting source (Agency, Job Boards, Referral, etc.), against known posting dates.</t>
  </si>
  <si>
    <t xml:space="preserve">1. User account provisioned with Recruiter or Reporting role.
2. Custom BIP Job Posting Duration report is deployed and accessible.
3. At least three requisitions exist with known posting dates.
4. Requisitions are posted through different sources (Agency, Job Board, Referral, etc.).
5. Posting source information is captured in the system.
</t>
  </si>
  <si>
    <t>1. Log in to Oracle Recruiting Cloud.
2. Navigate to:Tools &gt; Reports and Analytics &gt; Browse Catalog.
3. Open the Job Posting Duration BIP report.
4. Enter report parameters (if applicable) and run the report.
5. Review requisitions returned in the report.
6. Verify the Posting Source shown for each requisition.
7. Compare the Posting Date displayed in the report with the known posting date in the requisition.
8. Verify the calculated Posted Days value.
9. Review results for Agency, Job Board, and Referral postings.
10. Validate a sample of requisitions against source data.
11. Capture screenshots/evidence and record Actual Result and Pass/Fail.</t>
  </si>
  <si>
    <t xml:space="preserve">1. BIP report executes successfully.
2. Requisition posting data is displayed correctly.
3. Posting Source is correctly identified for each requisition.
4. Posted Days calculation matches the known posting dates.
5. Results are correctly grouped or reported by posting source.
6. Agency, Job Board, Referral, and other posting sources display accurate duration information.
</t>
  </si>
  <si>
    <t>TC07-INTM</t>
  </si>
  <si>
    <t>REQ_INTM_0006</t>
  </si>
  <si>
    <t>Interview Reason Codes</t>
  </si>
  <si>
    <t>Cancel a scheduled interview and verify the recruiter/hiring team can select an accurate cancellation reason from the configured lookup/reason code list, and that it saves correctly against the interview record.</t>
  </si>
  <si>
    <t xml:space="preserve">1. User account provisioned with Recruiter or Hiring Team role.
2. At least one interview is scheduled for a candidate.
3. Interview cancellation reason codes/lookups are configured and active.
4. User has permission to cancel interviews.
</t>
  </si>
  <si>
    <t>1. Log in to Oracle Recruiting Cloud.
2. Navigate to:Recruiting &gt; Candidates.
3. Search for and open a candidate with a scheduled interview.
4. Open the Interviews section.
5. Select the scheduled interview.
6. Click Actions &gt; Cancel Interview.
7. Review the available cancellation reasons.
8. Select an appropriate cancellation reason from the configured list.
9. Enter additional comments (if applicable).
10. Confirm the cancellation.
11. Reopen the candidate record and review the interview details/history.
12. Verify the cancellation reason is recorded against the interview.
13. Capture screenshots/evidence and record Actual Result and Pass/Fail.</t>
  </si>
  <si>
    <t xml:space="preserve">1. Scheduled interview is available for cancellation.
2. Configured cancellation reason codes are displayed.
3. User can select a valid cancellation reason.
4. Interview is cancelled successfully.
5. Selected cancellation reason is saved against the interview record.
6. Interview history/audit trail reflects the cancellation details correctly.
</t>
  </si>
  <si>
    <t>TC07-JO</t>
  </si>
  <si>
    <t>REQ_JO_0007</t>
  </si>
  <si>
    <t>Offer Compliance (COLA/Accommodation)</t>
  </si>
  <si>
    <t>Create an offer for a role requiring COLA/accommodation and verify the correct COLA/accommodation values render as DFFs in the Additional Info section</t>
  </si>
  <si>
    <t xml:space="preserve">1. User account provisioned with Recruiter role and offer creation access.
2. COLA (Cost of Living Allowance) and Accommodation fields are configured as Descriptive Flexfields (DFFs) in the Offer Additional Information section.
3. A role exists that is eligible for COLA and/or Accommodation benefits.
4. A candidate is available in Offer phase.
5. Default values or rules for COLA and Accommodation have been configured.
</t>
  </si>
  <si>
    <t>1. Log in to Oracle Recruiting Cloud as Recruiter.
2. Navigate to Recruiting &gt; Candidates.
3. Open a candidate application in Offer phase.
4. Click Create Offer.
5. Select the role requiring COLA/Accommodation entitlement.
6. Complete the mandatory offer details.
7. Navigate to the Additional Information section.
8. Review the COLA and Accommodation DFF fields.
9. Verify the populated values.
10. Generate the offer preview.
11. Save the offer.
12. Capture screenshots/evidence and record Actual Result and Pass/Fail.</t>
  </si>
  <si>
    <t xml:space="preserve">1. Offer creation page opens successfully.
2. Role selection is accepted successfully.
3. Additional Information section is displayed.
4. COLA and Accommodation DFF fields are visible for eligible roles.
5. Correct COLA and Accommodation values populate according to the configured business rules.
6. Offer preview displays the same values correctly.
</t>
  </si>
  <si>
    <t>Eugene Francis</t>
  </si>
  <si>
    <t>TC08-JO</t>
  </si>
  <si>
    <t>REQ_JO_0008</t>
  </si>
  <si>
    <t>Pay Transparency Compliance</t>
  </si>
  <si>
    <t>Post a requisition/offer for an EU country and verify the salary range/pay-transparency fields display correctly.</t>
  </si>
  <si>
    <t xml:space="preserve">1. User account provisioned with Recruiter role.
2. Pay Transparency configuration is enabled for the selected EU country.
3. Salary Range fields are configured on the requisition and offer process.
4. An EU country-specific requisition and offer template are available.
5. Candidate is available in Offer phase.
</t>
  </si>
  <si>
    <t>1. Log in to Oracle Recruiting Cloud as Recruiter.
2. Navigate to Recruiting &gt; Job Requisitions.
3. Create or open a requisition for an EU country.
4. Enter the salary range details and post the requisition.
5. Open the Career Site and review the job posting.
6. Verify the pay-transparency information displayed on the posting.
7. Navigate to Recruiting &gt; Candidates and open a candidate in Offer phase.
8. Create an offer using the EU country-specific template.
9. Review the salary range and pay-transparency fields on the offer.
10. Generate the offer preview.
11. Verify the displayed compensation information.
12. Capture screenshots/evidence and record Actual Result and Pass/Fail.</t>
  </si>
  <si>
    <t xml:space="preserve">1. Requisition is posted successfully.
2. Salary range/pay-transparency information is displayed correctly on the job posting.
3. Offer is created successfully using the EU-specific template.
4. Salary range and pay-transparency fields display correctly on the offer.
5. Compensation information matches the configured values for the selected EU country.
</t>
  </si>
  <si>
    <t>TC09-JO</t>
  </si>
  <si>
    <t>REQ_JO_0009</t>
  </si>
  <si>
    <t>Compensation - HCM Integration</t>
  </si>
  <si>
    <t>Create an offer for a role and verify min/max salary and bonus data flow automatically from PeopleSoft/HCM into the offer letter template</t>
  </si>
  <si>
    <t xml:space="preserve">1. User account provisioned with Recruiter role and offer creation access.
2. Min Salary, Max Salary, and Bonus values are configured in PeopleSoft/HCM for the selected role.
3. Integration between PeopleSoft/HCM and Oracle Recruiting Cloud is active.
4. Offer letter template contains merge fields for Salary Range and Bonus information.
5. Candidate is available in Offer phase.
</t>
  </si>
  <si>
    <t>1. Log in to Oracle Recruiting Cloud as Recruiter.
2. Navigate to Recruiting &gt; Candidates.
3. Open a candidate application in Offer phase.
4. Click Create Offer.
5. Select the role, grade, job code, and country associated with configured compensation data.
6. Proceed to the Compensation section and review the populated salary and bonus values.
7. Generate the offer letter.
8. Open the offer preview.
9. Review the Salary and Bonus sections in the offer letter.
10. Compare the displayed values against the configured PeopleSoft/HCM compensation values.
11. Save the offer.
12. Capture screenshots/evidence and record Actual Result and Pass/Fail.</t>
  </si>
  <si>
    <t xml:space="preserve">1. Offer creation page opens successfully.
2. Compensation information is automatically populated from PeopleSoft/HCM.
3. Min Salary, Max Salary, and Bonus values display correctly in the offer.
4. Offer letter merge fields resolve successfully.
5. Salary range and bonus values shown in the offer letter match the configured PeopleSoft/HCM values.
6. No manual entry is required for configured compensation components.
</t>
  </si>
  <si>
    <t>TC010-JO</t>
  </si>
  <si>
    <t>REQ_JO_0010</t>
  </si>
  <si>
    <t>Compensation Configuration</t>
  </si>
  <si>
    <t>Create an offer for a role with a specific skill level (not just grade) and verify the salary range reflects skill-level-based compensation rules</t>
  </si>
  <si>
    <t xml:space="preserve">1. User account provisioned with Recruiter role and offer creation access.
2. Compensation configuration is set up to determine salary ranges based on Skill Level in addition to Grade/Job.
3. At least one role has multiple Skill Levels with different compensation ranges configured.
4. Candidate is available in Offer phase.
5. Offer templates are configured and active.
</t>
  </si>
  <si>
    <t>1. Log in to Oracle Recruiting Cloud as Recruiter.
2. Navigate to Recruiting &gt; Candidates.
3. Open a candidate application in Offer phase.
4. Click Create Offer.
5. Select the role and applicable Skill Level.
6. Complete the mandatory offer details.
7. Navigate to the Compensation section.
8. Review the salary range displayed.
9. Generate the offer preview.
10. Verify the compensation information in the offer.
11. Save the offer.
12. Capture screenshots/evidence and record Actual Result and Pass/Fail.</t>
  </si>
  <si>
    <t xml:space="preserve">1. Offer creation page opens successfully.
2. Role and Skill Level selections are accepted.
3. Salary range is automatically derived from the configured Skill Level compensation rules.
4. Displayed compensation values differ appropriately based on the selected Skill Level.
5. Offer preview displays the correct salary range.
6. No manual adjustment is required for configured compensation values.
</t>
  </si>
  <si>
    <t>Architecture Team</t>
  </si>
  <si>
    <t>TC011-JO</t>
  </si>
  <si>
    <t>REQ_JO_0011</t>
  </si>
  <si>
    <t>Offer Compliance Fields</t>
  </si>
  <si>
    <t>Create an offer and verify the mandatory work location, work model, and assignment origin fields are enforced and correctly captured per regional compliance requirements.</t>
  </si>
  <si>
    <t xml:space="preserve">1. User account provisioned with Recruiter role and offer creation access.
2. Work Location, Work Model, and Assignment Origin fields are configured as mandatory fields for the applicable country/region.
3. Country-specific compliance rules are configured in the offer process.
4. A candidate is available in Offer phase.
5. Country-specific offer template is active.
</t>
  </si>
  <si>
    <t>1. Log in to Oracle Recruiting Cloud as Recruiter.
2. Navigate to Recruiting &gt; Candidates. 
3. Open a candidate application in Offer phase.
4. Click Create Offer.
5. Select the applicable country, role, and offer template.
6. Proceed to the offer details section.
7. Verify the Work Location, Work Model, and Assignment Origin fields are displayed.
8. Populate the mandatory fields and continue with offer creation.
9. Generate the offer preview.
10. Review the offer details and compliance-related information.
11. Save the offer.
12. Capture screenshots/evidence and record Actual Result and Pass/Fail.</t>
  </si>
  <si>
    <t xml:space="preserve">1. Offer creation page opens successfully.
2. Country-specific offer configuration is applied.
3. Work Location, Work Model, and Assignment Origin fields are displayed and enforced as mandatory fields where configured.
4. Offer cannot proceed unless required compliance fields are completed.
5. Entered values are saved correctly and displayed in the offer.
6. Offer preview reflects the captured regional compliance information.
</t>
  </si>
  <si>
    <t>TC012-JO</t>
  </si>
  <si>
    <t>REQ_JO_0012</t>
  </si>
  <si>
    <t>Offer Compliance Validation</t>
  </si>
  <si>
    <t>Trigger the offer stage for a role in a specific country and verify all applicable country-specific compliance validations fire correctly before the offer can proceed.</t>
  </si>
  <si>
    <t xml:space="preserve">1. User account provisioned with Recruiter role and offer creation access.
2. Country-specific compliance rules are configured in Oracle Recruiting Cloud.
3. A candidate is available in Offer phase.
4. Required country-specific fields, validations, and offer templates are configured.
</t>
  </si>
  <si>
    <t>1. Log in to Oracle Recruiting Cloud as Recruiter.
2. Navigate to Recruiting &gt; Candidates.
3. Open a candidate application in Offer phase.
4. Click Create Offer.
5. Select a role and country with configured compliance requirements.
6. Complete the mandatory offer details.
7. Attempt to proceed through the offer process with one or more required compliance fields missing or invalid.
8. Observe the validation messages displayed.
9. Complete all required country-specific compliance fields.
10. Continue the offer process and generate the offer preview.
11. Verify the offer can proceed successfully after all validations are met.
12. Capture screenshots/evidence and record Actual Result and Pass/Fail.</t>
  </si>
  <si>
    <t xml:space="preserve">1. Offer creation page opens successfully.
2. Country-specific compliance rules are applied based on the selected country.
3. Missing or invalid compliance information triggers the appropriate validation messages.
4. Offer cannot proceed until all country-specific compliance requirements are satisfied.
5. Required compliance fields, checks, and validations function correctly.
6. Offer proceeds successfully once all compliance requirements are met.
</t>
  </si>
  <si>
    <t>Srinath</t>
  </si>
  <si>
    <t>TC013-JO</t>
  </si>
  <si>
    <t>Offer created without mandatory country specific fields filled</t>
  </si>
  <si>
    <t xml:space="preserve">1. User account provisioned with Recruiter role and offer creation access.
2. Country-specific compliance fields are configured as mandatory for the selected country.
3. A candidate is available in Offer phase.
4. Country-specific offer template is active.
</t>
  </si>
  <si>
    <t>1. Log in to Oracle Recruiting Cloud as Recruiter.
2. Navigate to Recruiting &gt; Candidates.
3. Open a candidate application in Offer phase.
4. Click Create Offer.
5. Select a role and country with configured compliance requirements.
6. Complete the offer while intentionally leaving one or more mandatory country-specific fields blank.
7. Attempt to save or proceed with the offer.
8. Observe the validation messages displayed.
9. Verify whether the offer can be submitted or advanced.
10. Capture screenshots/evidence and record Actual Result and Pass/Fail.</t>
  </si>
  <si>
    <t xml:space="preserve">1. Offer creation page opens successfully.
2. Country-specific compliance fields are displayed.
3. Mandatory country-specific fields left blank are identified during validation.
4. Appropriate validation/error messages are displayed.
5. Offer cannot be saved, submitted, or advanced until all required country-specific fields are completed.
</t>
  </si>
  <si>
    <t>TC03-INT</t>
  </si>
  <si>
    <t>REQ_ING_0002 REQ_ING_0003</t>
  </si>
  <si>
    <t>Mercer Belong Integration</t>
  </si>
  <si>
    <t>Yet to add scenario (Need to check with Pramod)</t>
  </si>
  <si>
    <t>User provisioned with System / Integration Admin role; ORC sandbox/test environment configured per Fit-Gap Register solution for 'Mercer Belong Integration'.</t>
  </si>
  <si>
    <t>1. Log in to Oracle Recruiting Cloud as Recruiter.
2. Navigate to the Integration &gt; Mercer Belong Integration area relevant to this requirement.
3. Yet to add scenario.
4. Observe and record the system's actual behavior against the test objective.
5. Repeat on at least one additional record/scenario to confirm the behavior is consistent and not a one-off result.
6. Capture a screenshot/evidence and record the Actual Result and Pass/Fail outcome.</t>
  </si>
  <si>
    <t>Standard ORC does not natively support this requirement. If an interim workaround is in place, validate: Gather Mercer Belong integration inputs; scope a custom REST/HCM Extract-based integration if feasible.</t>
  </si>
  <si>
    <t>Project Team / Faujdar, Stuti</t>
  </si>
  <si>
    <t>TC022-JR</t>
  </si>
  <si>
    <t>REQ_JR_0016</t>
  </si>
  <si>
    <t>Hire Type Classification</t>
  </si>
  <si>
    <t>Create requisitions/candidates with each hire type (Permanent, Contract, Rehire) and verify the correct hire type is captured consistently across geographies.</t>
  </si>
  <si>
    <t xml:space="preserve">1. User account provisioned with Recruiter role.
2. Hire Type values (Permanent, Contract, Rehire) are configured in Oracle Recruiting Cloud.
3. Requisition creation and candidate application processes are enabled.
4. At least three country/geography configurations are available for testing.
</t>
  </si>
  <si>
    <t>1. Log in to Oracle Recruiting Cloud as Recruiter.
2. Create Requisition A with Hire Type = Permanent and complete the requisition setup.
3. Create a candidate application against Requisition A.
4. Create Requisition B with Hire Type = Contract and create a candidate application against it.
5. Create Requisition C with Hire Type = Rehire and create a candidate application against it.
6. Open each candidate application and review the hire-related information.
7. Move each candidate through the recruiting process up to Offer phase.
8. Create offers for each candidate.
9. Review the hire type information on the requisition, candidate record, and offer.
10. Repeat validation for another geography/country if applicable.
11. Capture screenshots/evidence and record Actual Result and Pass/Fail.</t>
  </si>
  <si>
    <t xml:space="preserve">1. Requisitions are created successfully with the selected Hire Type.
2. Candidate applications are created successfully.
3. Permanent, Contract, and Rehire values are captured correctly on the requisition.
4. Hire Type remains consistent across requisition, candidate, and offer records.
5. Hire Type values display correctly across all tested geographies.
</t>
  </si>
  <si>
    <t>TC014-JO</t>
  </si>
  <si>
    <t>REQ_JO_0013</t>
  </si>
  <si>
    <t>Contract Workflow Configuration</t>
  </si>
  <si>
    <t>Generate offers for both a fixed-term and a full-time contract role and verify each follows its distinct configured offer workflow.</t>
  </si>
  <si>
    <t xml:space="preserve">1. User account provisioned with Recruiter role and offer creation access.
2. Fixed-Term and Full-Time contract types are configured in Oracle Recruiting Cloud.
3. Separate offer workflows/approvals are configured for each contract type.
4. Two candidates are available in Offer phase.
5. Offer templates are active for both contract types.
</t>
  </si>
  <si>
    <t>1. Log in to Oracle Recruiting Cloud as Recruiter.
2. Navigate to Recruiting &gt; Candidates.
3. Open Candidate A and click Create Offer.
4. Select Contract Type = Fixed-Term and complete the mandatory offer details.
5. Submit the offer and note the workflow/approval route.
6. Open Candidate B and click Create Offer.
7. Select Contract Type = Full-Time and complete the mandatory offer details.
8. Submit the offer and note the workflow/approval route.
9. Review approval history, offer status, and workflow details for both offers.
10. Compare the workflow followed by each contract type.
11. Capture screenshots/evidence and record Actual Result and Pass/Fail.</t>
  </si>
  <si>
    <t xml:space="preserve">1. Fixed-Term offer is created successfully.
2. Fixed-Term offer follows the configured Fixed-Term workflow and approval process.
3. Full-Time offer is created successfully.
4. Full-Time offer follows the configured Full-Time workflow and approval process.
5. Workflow routing, approvals, and offer processing reflect the configured contract-specific rules.
</t>
  </si>
  <si>
    <t>Anil</t>
  </si>
  <si>
    <t>TC015-JO</t>
  </si>
  <si>
    <t>REQ_JO_0014</t>
  </si>
  <si>
    <t>Create/post a requisition and offer for Poland and verify salary range transparency information is provided to applicants per the amended Labour Code / EU Pay Transparency Directive.</t>
  </si>
  <si>
    <t xml:space="preserve">1. User account provisioned with Recruiter role.
2. Poland-specific requisition and offer templates are configured.
3. Salary range/pay transparency fields are configured for Poland.
4. A candidate is available in Offer phase.
5. Career Site posting functionality is active.
</t>
  </si>
  <si>
    <t>1. Log in to Oracle Recruiting Cloud as Recruiter.
2. Navigate to Recruiting &gt; Job Requisitions.
3. Create or open a requisition for Poland.
4. Enter the required salary range information and post the requisition.
5. Open the Career Site and review the Poland job posting.
6. Verify the salary range/pay transparency information displayed to applicants.
7. Navigate to Recruiting &gt; Candidates.
8. Open a candidate in Offer phase and click Create Offer.
9. Select the Poland offer template and complete the mandatory offer details.
10. Generate the offer preview.
11. Review the salary range/pay transparency information in the offer.
12. Capture screenshots/evidence and record Actual Result and Pass/Fail.</t>
  </si>
  <si>
    <t xml:space="preserve">1. Poland requisition is posted successfully.
2. Salary range/pay transparency information is displayed on the Poland job posting.
3. Applicants can view the configured compensation transparency information.
4. Poland offer is created successfully.
5. Salary range/pay transparency information is displayed correctly in the offer.
6. Compensation information matches the configured values for the Poland requisition and offer.
</t>
  </si>
  <si>
    <t>Szymanska, Magdalena</t>
  </si>
  <si>
    <t>TC016-JO</t>
  </si>
  <si>
    <t>REQ_JO_0015</t>
  </si>
  <si>
    <t>Offer Approval Template</t>
  </si>
  <si>
    <t>Route an offer for approval and verify the additional fields (tiering, percentile) appear correctly on the offer approval template.</t>
  </si>
  <si>
    <t xml:space="preserve">1. User account provisioned with Recruiter role and offer creation access.
2. Tiering and Percentile fields are configured in the offer approval template.
3. Offer approval workflow is active.
4. Candidate is available in Offer phase.
5. Offer template containing Tiering and Percentile fields is configured.
</t>
  </si>
  <si>
    <t>1. Log in to Oracle Recruiting Cloud as Recruiter.
2. Navigate to Recruiting &gt; Candidates.
3. Open a candidate application in Offer phase.
4. Click Create Offer.
5. Complete the required offer details including compensation information.
6. Populate Tiering and Percentile values (or allow system defaulting, if configured).
7. Submit the offer for approval.
8. Open the approval notification, approval worklist, or approval transaction details.
9. Review the offer approval template.
10. Verify the Tiering and Percentile fields displayed in the approval.
11. Capture screenshots/evidence and record Actual Result and Pass/Fail.</t>
  </si>
  <si>
    <t xml:space="preserve">1. Offer is created successfully.
2. Offer is routed for approval successfully.
3. Offer approval template is displayed correctly.
4. Tiering field is displayed with the correct value.
5. Percentile field is displayed with the correct value.
6. Approval information reflects the values entered or derived during offer creation.
</t>
  </si>
  <si>
    <t>TC023-JR</t>
  </si>
  <si>
    <t>REQ_JR_0017</t>
  </si>
  <si>
    <t>Field-Level Visibility (Hiring Manager)</t>
  </si>
  <si>
    <t>Log in as a Hiring Manager and verify only the fields permitted under the configured field-level visibility rules are visible/editable on the requisition.</t>
  </si>
  <si>
    <t xml:space="preserve">1. User account provisioned with Hiring Manager role.
2. Field-level visibility and edit permissions are configured for Hiring Managers.
3. At least one requisition is assigned to the Hiring Manager.
4. Restricted and editable requisition fields are configured in the test environment.
</t>
  </si>
  <si>
    <t>1. Log in to Oracle Recruiting Cloud as Hiring Manager.
2. Navigate to:My Team &gt; Hiring &gt; Job Requisitions.
3. Open a requisition assigned to the Hiring Manager.
4. Review all requisition sections and fields.
5. Identify fields configured as editable for the Hiring Manager.
6. Update one or more editable fields and save the requisition.
7. Review fields configured as read-only or hidden.
8. Attempt to edit a restricted field.
9. Verify the system behaviour.
10. Reopen the requisition and review the saved changes.
11. Capture screenshots/evidence and record Actual Result and Pass/Fail..</t>
  </si>
  <si>
    <t xml:space="preserve">1. Hiring Manager can access assigned requisitions.
2. Only fields permitted by the configured field-level security rules are visible.
3. Editable fields can be updated and saved successfully.
4. Restricted fields are either hidden or displayed as read-only.
5. Hiring Manager cannot modify fields outside their permitted access.
6. Saved changes are retained for editable fields.
</t>
  </si>
  <si>
    <t>Functional + Business Team</t>
  </si>
  <si>
    <t>TC024-JR</t>
  </si>
  <si>
    <t>Log in as a role without Hiring Manager and verify only the fields permitted under the configured field-level visibility rules are visible/editable on the requisition.</t>
  </si>
  <si>
    <t xml:space="preserve">1. User account is provisioned with a role that is NOT a Hiring Manager.
2. Field-level visibility and edit permissions are configured for the selected role.
3. At least one requisition exists and is accessible to the user per security configuration.
4. Requisition fields include a mix of editable, read-only, and hidden fields.
</t>
  </si>
  <si>
    <t>1. Log in to Oracle Recruiting Cloud using a non-Hiring Manager role.
2. Navigate to:Recruiting &gt; Job Requisitions.
3. Search for and open an accessible requisition.
4. Review all requisition sections and fields.
5. Identify fields available for viewing.
6. Identify fields available for editing.
7. Update one or more permitted editable fields and save the requisition.
8. Attempt to edit a field that should be restricted.
9. Verify whether restricted fields are read-only or hidden.
10. Reopen the requisition and review the saved changes.
11. Capture screenshots/evidence and record Actual Result and Pass/Fail.</t>
  </si>
  <si>
    <t xml:space="preserve">1. User can access only requisitions permitted by their security profile.
2. Only fields configured for the user's role are visible.
3. Permitted fields can be edited and saved successfully.
4. Restricted fields are hidden or displayed as read-only.
5. User cannot modify fields outside their configured permissions.
6. Saved changes are retained for permitted fields only.
</t>
  </si>
  <si>
    <t>TC025-JR</t>
  </si>
  <si>
    <t>REQ_JR_0019</t>
  </si>
  <si>
    <t>Recruiter-HM Collaboration</t>
  </si>
  <si>
    <t>Recruiter updates a job application and the Hiring Manager receives the correct notification reflecting that update.</t>
  </si>
  <si>
    <t xml:space="preserve">1. User account provisioned with Recruiter role.
2. User account provisioned with Hiring Manager role and assigned to the requisition.
3. Candidate application exists against the requisition.
4. Candidate-related notification templates are configured and active.
5. Hiring Manager notification recipients are configured correctly.
</t>
  </si>
  <si>
    <t>1. Log in to Oracle Recruiting Cloud as Recruiter.
2. Navigate to:Recruiting &gt; Candidates.
3. Search for and open a candidate application.
4. Update the candidate application (e.g., move candidate to a new phase/status, add comments, or complete a recruiter action configured to trigger a notification).
5. Save the update.
6. Verify the candidate update is completed successfully.
7. Log in as the Hiring Manager (or access the Hiring Manager notification mailbox).
8. Review the notification received for the candidate update.
9. Verify the details included in the notification.
10. Capture screenshots/evidence and record Actual Result and Pass/Fail.</t>
  </si>
  <si>
    <t xml:space="preserve">1. Candidate application update is saved successfully.
2. Candidate status/information reflects the recruiter update.
3. Hiring Manager receives the configured notification.
4. Notification contains the correct candidate, requisition, and update information.
5. Notification content matches the configured notification template.
</t>
  </si>
  <si>
    <t>Barath, Anand, Stuti</t>
  </si>
  <si>
    <t>TC03-CE</t>
  </si>
  <si>
    <t>REQ_CE_0004</t>
  </si>
  <si>
    <t>Application Flow (Easy Apply)</t>
  </si>
  <si>
    <t>Complete a job application via Easy Apply for a configured country and verify the reduced-step apply flow works correctly end-to-end.</t>
  </si>
  <si>
    <t xml:space="preserve">1. Easy Apply functionality is enabled for the selected country.
2. User has access to the external Career Site.
3. An active requisition is available and configured for Easy Apply.
4. Test candidate data and resume are available.
</t>
  </si>
  <si>
    <t>1. Open the external Career Site.
2. Search for and open a requisition configured for Easy Apply.
3. Click Easy Apply.
4. Enter the required candidate details.
5. Upload a resume (if configured).
6. Complete any mandatory application questions.
7. Submit the application.
8. Verify the application confirmation page.
9. Log in as Recruiter.
10. Navigate to Recruiting &gt; Candidates.
11. Search for the submitted candidate application.
12. Verify the application details and status.
13. Capture screenshots/evidence and record Actual Result and Pass/Fail</t>
  </si>
  <si>
    <t xml:space="preserve">1. Easy Apply option is available on the requisition.
2. Reduced-step application flow is displayed.
3. Candidate can complete the application with minimal required information.
4. Application is submitted successfully.
5. Confirmation message is displayed to the candidate.
6. Candidate application is created successfully in ORC.
7. Recruiter can view the submitted application and associated candidate details.
</t>
  </si>
  <si>
    <t>Barath</t>
  </si>
  <si>
    <t>TC04-CE</t>
  </si>
  <si>
    <t>REQ_CE_0005</t>
  </si>
  <si>
    <t>Talent Community</t>
  </si>
  <si>
    <t>Review the Talent Community sign-up flow and verify its design/branding matches</t>
  </si>
  <si>
    <t xml:space="preserve">1. Talent Community functionality is enabled and accessible.
2. Career Site branding/CMS configuration is deployed.
3. Talent Community sign-up page is published.
4. Employer branding content, logos, colours, images, and messaging are configured.
</t>
  </si>
  <si>
    <t>1. Open the external Career Site.
2. Navigate to the Talent Community sign-up page.
3. Review the page layout, branding elements, and registration form.
4. Verify the display of company logo, colours, banners, images, and branding content.
5. Review page headers, labels, instructions, and employer branding messages.
6. Complete a Talent Community sign-up (optional, if required for validation).
7. Review any confirmation page or confirmation email.
8. Capture screenshots/evidence and record Actual Result and Pass/Fail.</t>
  </si>
  <si>
    <t xml:space="preserve">1. Talent Community sign-up page opens successfully.
2. Branding elements display correctly, including configured logos, colours, images, and content.
3. Page layout is consistent with the organisation's Career Site branding standards.
4. Registration form and branding content render correctly without formatting issues.
5. Confirmation page/email (if applicable) follows the same branding standards.
</t>
  </si>
  <si>
    <t>Business + Marketing Team</t>
  </si>
  <si>
    <t>TC017-JO</t>
  </si>
  <si>
    <t>REQ_JO_0016</t>
  </si>
  <si>
    <t>Offer Templates</t>
  </si>
  <si>
    <t>Export an offer letter template to Word format and verify all content renders correctly for stakeholder review.</t>
  </si>
  <si>
    <t xml:space="preserve">1. User account provisioned with Recruiter or Recruiting Administrator role.
2. Offer letter template exists and is active.
3. User has access to offer letter template management.
4. Export functionality is enabled.
</t>
  </si>
  <si>
    <t>1. Log in to Oracle Recruiting Cloud.
2. Navigate to:Tools &gt; Recruiting Configuration &gt; Offer Letter Templates.
3. Search for and open the required offer letter template.
4. Select the Export or Download option.
5. Export the template in Microsoft Word (.docx) format.
6. Open the exported Word document.
7. Review the formatting, merge fields, tables, headers, footers, images, and text content.
8. Verify that all content is readable and properly rendered.
9. Compare the exported document with the source template.
10. Capture screenshots/evidence and record Actual Result and Pass/Fail.</t>
  </si>
  <si>
    <t>1. Offer letter template is exported successfully to Word format.
2. Text, formatting, tables, images, headers, and footers render correctly in the exported document.
3. Merge fields/tokens appear correctly for stakeholder review.
4. No content is missing, truncated, or corrupted.
5. Exported document matches the configured offer letter template.</t>
  </si>
  <si>
    <t>Anil / Core Team</t>
  </si>
  <si>
    <t>TC01-CSP</t>
  </si>
  <si>
    <t>REQ_CSP_0001</t>
  </si>
  <si>
    <t>Candidate Selection Process</t>
  </si>
  <si>
    <t>Recruiter View Configuration</t>
  </si>
  <si>
    <t>Log in as a Recruiter and verify the CSW/external application flow configuration sections are hidden and only accessible to Admin roles.</t>
  </si>
  <si>
    <t xml:space="preserve">1. User account provisioned with Recruiter role.
2. User account provisioned with Recruiting Administrator role (for comparison).
3. Career Site Workforce (CSW) and External Application Flow configuration areas are enabled.
4. Security roles are configured so that only Administrator roles can access configuration pages.
</t>
  </si>
  <si>
    <t>1. Log in to Oracle Recruiting Cloud as Recruiter.
2. Navigate to:My Client Groups &gt; Recruiting Configuration.
3. Attempt to access Career Site configuration.
4. Attempt to access CSW configuration.
5. Attempt to access External Application Flow configuration.
6. Attempt to access the configuration pages through direct navigation or URL.
7. Verify whether any configuration options can be viewed or edited.
8. Log out and log in as Recruiting Administrator.
9. Navigate to the same configuration areas.
10. Verify Administrator access.
11. Capture screenshots/evidence and record Actual Result and Pass/Fail.</t>
  </si>
  <si>
    <t xml:space="preserve">1. Recruiter can access only recruiting functions permitted by role.
2. CSW and External Application Flow configuration sections are hidden or inaccessible to the Recruiter.
3. Recruiter cannot view, edit, or manage configuration settings.
4. Direct navigation or URL access is blocked for the Recruiter.
5. Recruiting Administrator can access the configuration sections successfully.
</t>
  </si>
  <si>
    <t>TC02-CSP</t>
  </si>
  <si>
    <t>Recruiter tries to configure restricted sections on CSP/external application flow</t>
  </si>
  <si>
    <t xml:space="preserve">1. User account provisioned with Recruiter role.
2. CSP and External Application Flow configurations exist in the environment.
3. Security is configured such that only Recruiting Administrators can modify these configurations.
4. User does not have Recruiting Administrator privileges.
</t>
  </si>
  <si>
    <t>1. Log in to Oracle Recruiting Cloud as Recruiter.
2. Navigate to:
My Client Groups &gt; Recruiting Configuration.
3. Attempt to access Candidate Selection Processes (CSP).
4. Attempt to open a CSP for editing.
5. Attempt to access External Application Flow configuration.
6. Attempt to modify a CSP phase, state, or application flow section.
7. Attempt to add, update, or remove configuration elements.
8. Attempt to save the changes.
9. Attempt to access the same configuration pages using a direct URL (if available).
10. Capture screenshots/evidence and record Actual Result and Pass/Fail.</t>
  </si>
  <si>
    <t xml:space="preserve">1. Recruiter can access only configuration areas permitted by role.
2. CSP and External Application Flow configuration sections are hidden, read-only, or inaccessible.
3. Recruiter cannot modify restricted configuration settings.
4. Save actions are unavailable or blocked for restricted sections.
5. Direct URL access to restricted configuration areas is denied.
6. Appropriate security or insufficient privilege messages are displayed where applicable.
</t>
  </si>
  <si>
    <t>TC05-CE</t>
  </si>
  <si>
    <t>REQ_CE_0006</t>
  </si>
  <si>
    <t>Application Flow (Easy Apply v3)</t>
  </si>
  <si>
    <t>Submit an application via Easy Apply v3 using profile upload/resume parsing for a specific country/recruiting type and verify the correct flow (Express vs. End-to-End) triggers, with recruiter-facing toggles restricted per security profile.</t>
  </si>
  <si>
    <t>1. Easy Apply v3 is enabled for the selected country and recruiting type.
2. Two active requisitions are available:
a. One configured for Express Apply.
b. One configured for End-to-End Apply.
3. Test candidate profile and supported resume file are available.
4. Resume parsing/profile upload functionality is enabled.
5. Recruiter account is provisioned with the configured security profile.
6. Easy Apply configuration toggles and application-flow permissions are assigned according to the approved security design.</t>
  </si>
  <si>
    <t>1. Open the external Career Site and locate the requisition configured for Express Apply.
2. Click Apply and upload the candidate profile/resume.
3. Verify that resume details are parsed and populated into the relevant application fields.
4. Complete the mandatory fields and submit the Express application.
5. Verify that the reduced-step Express Apply flow completes successfully.
6. Locate the requisition configured for End-to-End Apply.
7. Upload the candidate profile/resume and verify the parsed information.
8. Complete all configured application sections, questions, declarations and mandatory fields.
9. Submit the application and verify that the End-to-End flow completes successfully.
10. Log in to Oracle Recruiting Cloud as Recruiter.
11. Navigate to Recruiting &gt; Candidates and verify both submitted applications and their application-flow details.
12. Open the relevant requisitions and review the recruiter-facing Easy Apply v3 configuration toggles.
13. Attempt to view or modify restricted Express/End-to-End flow toggles.
14. Verify that toggle visibility and edit access follow the Recruiter's configured security profile.</t>
  </si>
  <si>
    <t>1. Profile/resume upload completes successfully and supported candidate details are parsed into the application.
2. The Express-configured requisition launches the reduced-step Express Apply flow.
3. The End-to-End-configured requisition displays all required application sections and validations.
4. Both applications are submitted successfully and are available to the Recruiter against the correct requisitions.
5. The applied country and recruiting type trigger the corresponding configured application flow.
6. Recruiter-facing toggles are visible or editable only where permitted; restricted toggles remain hidden or read-only.</t>
  </si>
  <si>
    <t>TC06-CE</t>
  </si>
  <si>
    <t>REQ_CE_0007</t>
  </si>
  <si>
    <t>Application Question Sets</t>
  </si>
  <si>
    <t>Progress a candidate through New, Screening, and Post-Offer phases and verify each phase captures only its designated data, with knockout questions correctly filtering non-qualifying answers.</t>
  </si>
  <si>
    <t>1. User account provisioned with Recruiter role.
2. Candidate Selection Process (CSP) contains New, Screening, and Post-Offer phases.
3. Phase-specific fields and sections are configured for each phase.
4. At least one knockout question is configured in the application flow.
5. A requisition is available with candidate applications enabled.
6. Test candidate data is available.</t>
  </si>
  <si>
    <t>1. Submit a candidate application with answers that satisfy all knockout questions.
2. Log in to Oracle Recruiting Cloud as Recruiter.
3. Navigate to Recruiting &gt; Candidates and open the candidate application.
4. Review the data captured in the New phase.
5. Move the candidate to the Screening phase.
6. Verify and complete Screening-phase fields.
7. Review the data available in the Screening phase.
8. Move the candidate through the recruiting process to the Post-Offer phase.
9. Review the data available in the Post-Offer phase.
10. Submit a second application using a disqualifying response to a knockout question.
11. Verify the application outcome for the non-qualifying candidate.
12. Review candidate phases, statuses, and captured information.</t>
  </si>
  <si>
    <t>1. Candidate application is created successfully when knockout requirements are met.
2. New phase displays and captures only the fields configured for the New phase.
3. Screening phase displays and captures only the fields configured for the Screening phase.
4. Post-Offer phase displays and captures only the fields configured for the Post-Offer phase.
5. Data entered in each phase is retained correctly.
6. Candidates providing non-qualifying knockout responses are filtered, dispositioned, or prevented from progressing according to configuration.
7. Candidate phase progression and data capture follow the configured CSP design.</t>
  </si>
  <si>
    <t>TC07-CE</t>
  </si>
  <si>
    <t>REQ_CE_0008</t>
  </si>
  <si>
    <t>Country-Specific Application Flows</t>
  </si>
  <si>
    <t>Post requisitions in different countries and verify each surfaces the correct country-specific application flow, tagged by recruiting type.</t>
  </si>
  <si>
    <t>1. User account provisioned with Recruiter role.
2. Country-specific application flows are configured and active.
3. Recruiting Types are configured and mapped to application flows.
4. At least two active requisitions exist with different country and recruiting type combinations.
5. Career Site is active and accessible.
6. Test candidate data is available.</t>
  </si>
  <si>
    <t>1. Log in to Oracle Recruiting Cloud as Recruiter.
2. Create and post Requisition A for Country A with Recruiting Type A.
3. Create and post Requisition B for Country B with Recruiting Type B.
4. Open the Career Site.
5. Search for and open Requisition A.
6. Click Apply and review the application flow presented.
7. Complete the application and note the sections, questions, and validations displayed.
8. Repeat the process for Requisition B.
9. Compare the application flows presented for both requisitions.
10. Review the submitted applications in ORC.
11. Verify the recruiting type associated with each application.</t>
  </si>
  <si>
    <t>1. Requisitions are posted successfully.
2. Applicants can access each requisition from the Career Site.
3. Country A requisition launches the application flow configured for Country A and Recruiting Type A.
4. Country B requisition launches the application flow configured for Country B and Recruiting Type B.
5. Application sections, questions, and validations align with the configured country-specific flow.
6. Submitted applications are associated with the correct recruiting type.
7. Country-specific application flow routing functions according to configuration.</t>
  </si>
  <si>
    <t>TC08-CE</t>
  </si>
  <si>
    <t>REQ_CE_0009</t>
  </si>
  <si>
    <t>Career Site Compliance Content</t>
  </si>
  <si>
    <t>View the Career Site in different regions and verify the legal disclaimer and region-specific data-capture content display correctly, using clean test data.</t>
  </si>
  <si>
    <t>1. Career Site is active and accessible.
2. Region-specific legal disclaimers and privacy content are configured.
3. Region-specific data-capture fields and consent statements are configured.
4. At least two countries/regions are configured with different legal/privacy requirements.
5. Clean test candidate data is available.</t>
  </si>
  <si>
    <t>1. Open the Career Site for Region A.
2. Search for and open an active job requisition.
3. Review the legal disclaimer, privacy notice, and consent content displayed.
4. Start an application and review the region-specific data-capture fields.
5. Verify any consent checkboxes, declarations, or privacy statements.
6. Submit or partially complete the application using clean test data.
7. Repeat the same process for Region B (and additional configured regions, if applicable).
8. Compare the legal, privacy, and data-capture content across regions.
9. Verify that the correct regional content is displayed based on the selected location.</t>
  </si>
  <si>
    <t>1. Career Site loads successfully for each region.
2. Region-specific legal disclaimers and privacy notices are displayed correctly.
3. Required consent statements and declarations are presented according to regional requirements.
4. Data-capture fields align with the configured regional requirements.
5. Different regions display the appropriate localised legal and privacy content.
6. Regional content is applied consistently throughout the application process.
7. Legal disclaimer and data-capture content are displayed according to the configured regional rules.</t>
  </si>
  <si>
    <t>Client Team</t>
  </si>
  <si>
    <t>TC09-CE</t>
  </si>
  <si>
    <t>Candidate proceeds application without checking legal disclaimer and filling countrywise data</t>
  </si>
  <si>
    <t>1. Career Site is active and accessible.
2. Region-specific legal disclaimers, privacy notices, and consent statements are configured.
3. Country-specific data-capture fields are configured as mandatory.
4. An active requisition exists for the selected country/region.
5. Test candidate data is available.</t>
  </si>
  <si>
    <t>1. Open the Career Site.
2. Search for and open an active job requisition.
3. Click Apply.
4. Complete the application using test candidate data.
5. Leave the mandatory legal disclaimer/consent checkbox unchecked.
6. Leave one or more mandatory country-specific data fields blank.
7. Attempt to proceed to the next application step or submit the application.
8. Observe the validation messages displayed.
9. Verify whether the application can be completed.
10. Review the status of the application attempt.</t>
  </si>
  <si>
    <t>1. Application page loads successfully.
2. Legal disclaimer, privacy notice, and consent statements are displayed.
3. Mandatory country-specific data fields are displayed.
4. System identifies missing consent acknowledgement and mandatory country-specific information.
5. Appropriate validation/error messages are displayed.
6. Candidate cannot proceed or submit the application until all required consent and country-specific fields are completed.
7. Application remains incomplete until mandatory legal and regional requirements are satisfied.</t>
  </si>
  <si>
    <t>TC03-CSP</t>
  </si>
  <si>
    <t>REQ_CSP_0002</t>
  </si>
  <si>
    <t>Rehire Check Integration</t>
  </si>
  <si>
    <t>Search for a candidate with an existing HCM rehire-eligibility flag and verify the rehire check correctly surfaces within the Candidate Module.</t>
  </si>
  <si>
    <t>1. User account provisioned with Recruiter role.
2. Oracle Recruiting Cloud is integrated with HCM.
3. A former employee/candidate exists with a rehire eligibility flag maintained in HCM.
4. Candidate record is synchronized between HCM and ORC.
5. Recruiter has access to Candidate Search and Candidate Profiles.</t>
  </si>
  <si>
    <t>1. Log in to Oracle Recruiting Cloud as Recruiter.
2. Navigate to Recruiting &gt; Candidates.
3. Search for the candidate with an existing rehire eligibility flag.
4. Open the candidate profile.
5. Review the candidate details and employment history section.
6. Locate the rehire-related information displayed on the candidate record.
7. Verify the candidate's rehire eligibility status.
8. Navigate through candidate summary, application, and profile pages.
9. Verify that the rehire information is consistently displayed wherever configured.
10. Review any recruiter actions or indicators associated with the rehire status.</t>
  </si>
  <si>
    <t>1. Candidate record is displayed successfully.
2. Former employee information is available on the candidate profile.
3. Rehire eligibility status is surfaced in the Candidate Module according to configuration.
4. Recruiter can identify whether the candidate is eligible or ineligible for rehire.
5. Rehire information is displayed consistently across applicable candidate pages.
6. Rehire status reflects the value maintained in HCM.
7. Recruiter-facing indicators and actions align with the configured rehire eligibility rules.</t>
  </si>
  <si>
    <t>TC020-REF</t>
  </si>
  <si>
    <t>REQ_ERP_0014</t>
  </si>
  <si>
    <t>Referral Consent / Compliance</t>
  </si>
  <si>
    <t>Submit an employee referral selecting 'Yes' for client/government referral and verify the correct conditional sub-fields (client name / government official name) display and capture data via the DFF-driven logic.</t>
  </si>
  <si>
    <t>1. User account provisioned with Employee (Referrer) role.
2. Employee Referral functionality is enabled.
3. Client Referral and Government Official Referral fields are configured as DFF-driven conditional fields.
4. Client Name and Government Official Name fields are configured to display based on referral responses.
5. An active requisition is available for referral submission.
6. Test candidate data is available.</t>
  </si>
  <si>
    <t>1. Log in to Oracle Recruiting Cloud as Employee (Referrer).
2. Navigate to Me &gt; Referrals.
3. Select an active requisition and click Refer Candidate.
4. Enter the required candidate information.
5. Locate the Client/Government Referral questions on the referral form.
6. Select "Yes" for Client Referral.
7. Verify the Client Name field is displayed.
8. Enter a valid Client Name.
9. Select "Yes" for Government Official Referral.
10. Verify the Government Official Name field is displayed.
11. Enter a valid Government Official Name.
12. Complete the remaining mandatory fields and submit the referral.
13. Reopen the referral record and review the submitted information.</t>
  </si>
  <si>
    <t>1. Referral form opens successfully.
2. Client Referral and Government Official Referral questions are displayed.
3. Selecting "Yes" for Client Referral dynamically displays the Client Name field.
4. Selecting "Yes" for Government Official Referral dynamically displays the Government Official Name field.
5. Client Name and Government Official Name fields accept valid values.
6. Referral is submitted successfully.
7. Client Name and Government Official Name values are saved and displayed correctly on the referral record.
8. DFF-driven conditional field behaviour functions according to configuration.</t>
  </si>
  <si>
    <t>Agustina RDB</t>
  </si>
  <si>
    <t>TC021-REF</t>
  </si>
  <si>
    <t>Employee tries to refer external candidate without answering client/government referral disclosure</t>
  </si>
  <si>
    <t>1. User account provisioned with Employee (Referrer) role.
2. Employee Referral functionality is enabled.
3. Client Referral and Government Official Referral disclosure fields are configured as mandatory.
4. DFF-based conditional fields are configured for referral disclosure requirements.
5. An active requisition is available for referral submission.
6. Test candidate data is available.</t>
  </si>
  <si>
    <t>1. Log in to Oracle Recruiting Cloud as Employee (Referrer).
2. Navigate to Me &gt; Referrals.
3. Select an active requisition and click Refer Candidate.
4. Enter the required candidate information.
5. Locate the Client Referral and Government Official Referral disclosure questions.
6. Leave the disclosure questions unanswered.
7. Complete the remaining mandatory referral information.
8. Attempt to submit the referral.
9. Observe the validation messages displayed.
10. Verify whether the referral can be submitted.
11. Review the referral status after the submission attempt.</t>
  </si>
  <si>
    <t>1. Referral form opens successfully.
2. Client Referral and Government Official Referral disclosure questions are displayed.
3. Disclosure fields are identified as mandatory fields.
4. System validates the referral before submission.
5. Appropriate validation messages are displayed for unanswered disclosure questions.
6. Referral cannot be submitted until the required disclosures are completed.
7. Referral remains incomplete until all mandatory disclosure requirements are satisfied.</t>
  </si>
  <si>
    <t>TC026-JR</t>
  </si>
  <si>
    <t>REQ_JR_0020</t>
  </si>
  <si>
    <t>Prescreening Question Template</t>
  </si>
  <si>
    <t>Complete the prescreening template for a requisition and verify all specified questions (work authorization, location/work arrangement, job-specific qualifications) render and capture responses correctly.</t>
  </si>
  <si>
    <t>1. User account provisioned with Candidate role.
2. A requisition exists with a configured prescreening template.
3. Prescreening questions include Work Authorization, Location/Work Arrangement, and Job-Specific Qualification questions.
4. Application flow is configured to display prescreening questions.
5. Test candidate data is available.</t>
  </si>
  <si>
    <t>1. Open the Career Site.
2. Search for and open the requisition with the prescreening template.
3. Click Apply.
4. Proceed to the prescreening section of the application.
5. Review the Work Authorization questions.
6. Review the Location/Work Arrangement questions.
7. Review the Job-Specific Qualification questions.
8. Enter valid responses for all prescreening questions.
9. Continue through the application process.
10. Submit the application.
11. Log in as Recruiter.
12. Navigate to Recruiting &gt; Candidates and open the submitted application.
13. Review the captured prescreening responses.</t>
  </si>
  <si>
    <t>1. Prescreening section is displayed successfully.
2. Work Authorization questions are displayed according to configuration.
3. Location/Work Arrangement questions are displayed according to configuration.
4. Job-Specific Qualification questions are displayed according to configuration.
5. Prescreening questions accept valid responses.
6. Application is submitted successfully.
7. Recruiter can view the captured prescreening responses.
8. All responses are stored and displayed correctly on the candidate application.</t>
  </si>
  <si>
    <t>Devon</t>
  </si>
  <si>
    <t>TC027-JR</t>
  </si>
  <si>
    <t>Complete the prescreening template for a requisition WITHOUT filling all specified questions (work authorization, location/work arrangement, job-specific qualifications) render and capture responses correctly.</t>
  </si>
  <si>
    <t>1. User account provisioned with Candidate role.
2. A requisition exists with a configured prescreening template.
3. Prescreening questions include Work Authorization, Location/Work Arrangement, and Job-Specific Qualification questions.
4. Application flow is configured to display prescreening questions.
5. Mandatory prescreening questions are configured.
6. Test candidate data is available.</t>
  </si>
  <si>
    <t>1. Open the Career Site.
2. Search for and open the requisition with the prescreening template.
3. Click Apply.
4. Proceed to the prescreening section of the application.
5. Review the Work Authorization questions.
6. Review the Location/Work Arrangement questions.
7. Review the Job-Specific Qualification questions.
8. Leave one or more mandatory prescreening questions unanswered.
9. Complete the remaining application fields.
10. Attempt to submit the application.
11. Observe the validation messages displayed.
12. Verify whether the application can be submitted.</t>
  </si>
  <si>
    <t>1. Prescreening section is displayed successfully.
2. Work Authorization, Location/Work Arrangement, and Job-Specific Qualification questions are displayed according to configuration.
3. Mandatory prescreening questions are identified as required fields.
4. System validates the application before submission.
5. Appropriate validation/error messages are displayed for unanswered mandatory prescreening questions.
6. Application cannot be submitted until all required prescreening questions are completed.
7. Unanswered mandatory prescreening questions prevent application completion according to configuration.</t>
  </si>
  <si>
    <t>TC028-JR</t>
  </si>
  <si>
    <t>REQ_JR_0021</t>
  </si>
  <si>
    <t>Requisition Status (Custom)</t>
  </si>
  <si>
    <t>Move a requisition to the new internal status 'Pending Candidate Feedback' and verify it is selectable and displays correctly.</t>
  </si>
  <si>
    <t>1. User account provisioned with Recruiter role.
2. Candidate Selection Process (CSP) contains the custom internal status "Pending Candidate Feedback".
3. An active requisition exists.
4. Candidate is associated with the requisition and is in a phase where the status can be updated.
5. Recruiter has permission to update candidate statuses.</t>
  </si>
  <si>
    <t>1. Log in to Oracle Recruiting Cloud as Recruiter.
2. Navigate to Recruiting &gt; Candidates.
3. Search for and open a candidate application.
4. Click Move or Change State/Status.
5. Review the available status values.
6. Select "Pending Candidate Feedback" from the status list.
7. Save the status update.
8. Refresh or reopen the candidate application.
9. Review the candidate status displayed on the application.
10. Review the status displayed in candidate search results and pipeline views.
11. Verify the candidate remains in the expected phase after the status update.</t>
  </si>
  <si>
    <t>1. Candidate application opens successfully.
2. "Pending Candidate Feedback" is available as a selectable status.
3. Status update is saved successfully.
4. Candidate application displays the status "Pending Candidate Feedback".
5. Candidate search results and pipeline views display the updated status correctly.
6. Status remains associated with the correct phase according to configuration.
7. The custom status functions according to the configured CSP design.</t>
  </si>
  <si>
    <t>TC018-JO</t>
  </si>
  <si>
    <t>REQ_JO_0017</t>
  </si>
  <si>
    <t>Offer Document Attachments</t>
  </si>
  <si>
    <t>Attach a benefits document to an offer and verify it is correctly included when the offer is sent to the candidate.</t>
  </si>
  <si>
    <t>1. User account provisioned with Recruiter role and offer creation access.
2. Candidate is available in Offer phase.
3. Benefits document is available for attachment.
4. Offer creation and offer attachment functionality are enabled.
5. Candidate has a valid email address.</t>
  </si>
  <si>
    <t>1. Log in to Oracle Recruiting Cloud as Recruiter.
2. Navigate to Recruiting &gt; Candidates.
3. Open a candidate application in Offer phase.
4. Click Create Offer.
5. Complete the mandatory offer details.
6. Navigate to the Attachments or Documents section.
7. Attach the benefits document to the offer.
8. Verify the document is successfully attached.
9. Generate the offer preview.
10. Submit and send the offer to the candidate.
11. Access the candidate offer notification or candidate portal.
12. Review the offer package and attached documents.</t>
  </si>
  <si>
    <t>1. Offer creation page opens successfully.
2. Benefits document can be attached to the offer.
3. Attached document is visible on the offer record.
4. Offer is generated successfully.
5. Offer is sent to the candidate successfully.
6. Benefits document is included with the offer package.
7. Candidate can access the attached benefits document through the offer notification or candidate portal.
8. Attached document remains associated with the offer record after submission.</t>
  </si>
  <si>
    <t>TC019-JO</t>
  </si>
  <si>
    <t>REQ_JO_0018</t>
  </si>
  <si>
    <t>Compensation / Approval Matrix Automation</t>
  </si>
  <si>
    <t>Upload/enter a salary range on an offer and verify the system calculates the correct P-level and automatically routes the offer through the correct approval matrix.</t>
  </si>
  <si>
    <t>1. User account provisioned with Recruiter role and offer creation access.
2. P-Level calculation rules are configured based on salary ranges.
3. Offer approval matrix is configured and active.
4. Candidate is available in Offer phase.
5. Salary range thresholds and approval routing rules are configured in the system.
6. Offer templates are active.</t>
  </si>
  <si>
    <t>1. Log in to Oracle Recruiting Cloud as Recruiter.
2. Navigate to Recruiting &gt; Candidates.
3. Open a candidate application in Offer phase.
4. Click Create Offer.
5. Select the applicable role, grade, and offer template.
6. Enter or upload salary information within a configured salary range.
7. Navigate to the Compensation section and review the calculated P-Level.
8. Submit the offer for approval.
9. Open the approval transaction details or approval worklist.
10. Review the approvers assigned to the offer.
11. Verify the approval routing based on the calculated P-Level.
12. Review the offer approval history.</t>
  </si>
  <si>
    <t>1. Offer creation page opens successfully.
2. Salary information is accepted successfully.
3. System calculates the correct P-Level based on the configured salary range rules.
4. Offer is submitted successfully for approval.
5. Approval routing is automatically determined using the calculated P-Level.
6. Correct approvers are assigned according to the configured approval matrix.
7. Approval history displays the expected approval path and routing details.</t>
  </si>
  <si>
    <t>TC020-JO</t>
  </si>
  <si>
    <t>REQ_JO_0019</t>
  </si>
  <si>
    <t>Offer Fitment Form</t>
  </si>
  <si>
    <t>Complete an offer using only ORC compensation configuration (without a separate fitment form) and verify fitment logic can be captured/approved within ORC, or confirm the VBS extension is required.</t>
  </si>
  <si>
    <t>1. User account provisioned with Recruiter role and offer creation access.
2. Candidate is available in Offer phase.
3. ORC Compensation configuration is enabled.
4. Fitment-related fields and approval rules are configured in ORC, if applicable.
5. Offer approval workflow is active.
6. VBS extensions (if implemented) are deployed in the environment.</t>
  </si>
  <si>
    <t>1. Log in to Oracle Recruiting Cloud as Recruiter.
2. Navigate to Recruiting &gt; Candidates.
3. Open a candidate application in Offer phase.
4. Click Create Offer.
5. Select the applicable role, grade, and compensation structure.
6. Complete the compensation details using only the standard ORC offer process.
7. Review the offer details to identify any fitment-related fields or calculations.
8. Submit the offer for approval.
9. Open the approval transaction and review the information available to approvers.
10. Verify whether fitment-related data is available within the offer and approval process.
11. Review any configured fitment fields, DFFs, or approval attributes.
12. Determine whether the fitment requirement is satisfied using standard ORC functionality or requires VBS extension.</t>
  </si>
  <si>
    <t>1. Offer is created successfully using the standard ORC compensation configuration.
2. Fitment-related information is available within the offer process if configured in standard ORC.
3. Offer approval workflow displays the fitment-related information required for approval decisions.
4. Approvers can review fitment-related data within the offer approval process where supported by configuration.
5. If standard ORC functionality does not support the required fitment logic, the gap is identified and the requirement is confirmed as requiring VBS extension or additional configuration.
6. Fitment processing follows the configured solution design for the environment.</t>
  </si>
  <si>
    <t>TC010-CE</t>
  </si>
  <si>
    <t>REQ_CE_0010</t>
  </si>
  <si>
    <t>Candidate Profile Sharing</t>
  </si>
  <si>
    <t>Share a candidate profile from the recruiter view directly with a Hiring Manager and verify the Hiring Manager can view the shared profile.</t>
  </si>
  <si>
    <t>1. User account provisioned with Recruiter role.
2. User account provisioned with Hiring Manager role.
3. A candidate application exists against a requisition assigned to the Hiring Manager.
4. Candidate profile sharing functionality is enabled.
5. Recruiter has permission to share candidate profiles.
6. Hiring Manager has permission to view shared candidate profiles.</t>
  </si>
  <si>
    <t>1. Log in to Oracle Recruiting Cloud as Recruiter.
2. Navigate to Recruiting &gt; Candidates.
3. Search for and open the candidate application.
4. Select the Share Candidate Profile action.
5. Choose the assigned Hiring Manager as the recipient.
6. Submit the profile sharing request.
7. Verify the profile is shared successfully.
8. Log out and log in as Hiring Manager.
9. Navigate to Recruiting &gt; Candidates or the Shared Candidates area.
10. Open the shared candidate profile.
11. Review the candidate information, resume, and application details.
12. Verify access to the shared profile.</t>
  </si>
  <si>
    <t>1. Candidate profile is available for sharing.
2. Recruiter can successfully share the candidate profile with the Hiring Manager.
3. Shared candidate profile is delivered to the selected Hiring Manager.
4. Hiring Manager can locate the shared candidate profile.
5. Hiring Manager can access and view the candidate information according to assigned permissions.
6. Candidate resume, profile details, and application information are displayed correctly.
7. Candidate profile sharing functions according to the configured security and sharing rules.</t>
  </si>
  <si>
    <t>TC04-INT</t>
  </si>
  <si>
    <t>REQ_ING_0004</t>
  </si>
  <si>
    <t>Talview Integration - Reporting</t>
  </si>
  <si>
    <t>Run the OTBI candidate funnel report and verify Talview data correctly feeds into the funnel reporting once the integration is confirmed.</t>
  </si>
  <si>
    <t>1. User account provisioned with Recruiter or Reporting role.
2. Talview integration is enabled and confirmed to be functioning.
3. Candidate records exist with Talview assessment/interview data.
4. OTBI Candidate Funnel Report is available and accessible.
5. Talview-related data elements are mapped to ORC reporting.
6. Test candidate data is available across multiple funnel stages.</t>
  </si>
  <si>
    <t>1. Log in to Oracle Recruiting Cloud.
2. Navigate to Tools &gt; Reports and Analytics.
3. Open the Candidate Funnel OTBI report.
4. Enter the required report parameters.
5. Run the report.
6. Review candidate counts and funnel-stage information.
7. Identify candidates that have Talview assessments/interviews completed.
8. Review Talview-related information displayed in the report.
9. Compare report results with candidate records in ORC.
10. Verify Talview-driven candidate progression is reflected in the funnel.
11. Review reporting totals and stage breakdowns.</t>
  </si>
  <si>
    <t>1. Candidate Funnel OTBI report executes successfully.
2. Candidate funnel data is displayed correctly.
3. Candidates with Talview activity appear in the report.
4. Talview assessment/interview information is reflected in the appropriate funnel stages.
5. Candidate progression shown in the report matches the data available in ORC.
6. Funnel counts and stage breakdowns display accurately.
7. Talview data is incorporated into funnel reporting according to the confirmed integration configuration.</t>
  </si>
  <si>
    <t>TC05-INT</t>
  </si>
  <si>
    <t>REQ_ING_0005</t>
  </si>
  <si>
    <t>Talview Integration - Resume Flow</t>
  </si>
  <si>
    <t>Submit/update a resume via Talview and verify the resume data flows correctly into ORC as defined by the integration/decommission assessment.</t>
  </si>
  <si>
    <t>1. User account provisioned with Recruiter role.
2. Talview integration is enabled and confirmed to be functioning.
3. Candidate record exists in Talview and ORC.
4. Resume integration mapping between Talview and ORC is configured.
5. Resume upload and update functionality is enabled in Talview.
6. Test resume file is available.</t>
  </si>
  <si>
    <t>1. Log in to Talview using a valid candidate account.
2. Navigate to the candidate profile or resume section.
3. Upload a new resume or update the existing resume.
4. Save the resume changes.
5. Verify the resume update is processed successfully in Talview.
6. Log in to Oracle Recruiting Cloud as Recruiter.
7. Navigate to Recruiting &gt; Candidates.
8. Search for and open the corresponding candidate profile.
9. Review the candidate resume and profile information.
10. Compare the resume details displayed in ORC with the information submitted in Talview.
11. Verify the latest resume version is available in ORC.
12. Review any mapped fields affected by the resume integration.</t>
  </si>
  <si>
    <t>1. Resume upload or update is completed successfully in Talview.
2. Resume data is transferred successfully from Talview to ORC.
3. Candidate profile in ORC displays the latest resume version.
4. Resume content and mapped candidate information match the data submitted in Talview.
5. Updated resume information is available to recruiters in ORC.
6. Resume integration behaves according to the configured Talview-to-ORC integration design.</t>
  </si>
  <si>
    <t>TC04-CSP</t>
  </si>
  <si>
    <t>REQ_CSP_0003</t>
  </si>
  <si>
    <t>Candidate History Preservation</t>
  </si>
  <si>
    <t>Move a candidate from sourcing through hiring and verify their full history is preserved and visible at every stage.</t>
  </si>
  <si>
    <t>1. User account provisioned with Recruiter role.
2. An active requisition exists.
3. A candidate is available for progression through the recruiting lifecycle.
4. Candidate Selection Process (CSP) includes Sourcing, Screening, Interview, Offer, and Hire phases.
5. Candidate activity history tracking is enabled.
6. Recruiter has permission to move candidates through all applicable phases.</t>
  </si>
  <si>
    <t>1. Log in to Oracle Recruiting Cloud as Recruiter.
2. Navigate to Recruiting &gt; Candidates.
3. Create or identify a candidate in the Sourcing phase.
4. Review and record the candidate activity history.
5. Move the candidate to the Screening phase.
6. Review the candidate activity history and phase progression details.
7. Move the candidate through Interview and Offer phases.
8. At each phase, review comments, status updates, attachments, and activity records.
9. Complete the hiring process and move the candidate to the Hire phase.
10. Open the candidate profile and review the complete candidate history.
11. Verify all historical activities remain visible after each phase transition.</t>
  </si>
  <si>
    <t>1. Candidate progresses successfully through each recruiting phase.
2. Status changes and recruiter actions are recorded in the candidate history.
3. Comments, attachments, interview activities, and offer activities remain available throughout the process.
4. Historical records are retained when moving between phases.
5. Candidate history is visible from sourcing through hiring.
6. Activity timeline accurately reflects all candidate lifecycle events.
7. Candidate record maintains a complete audit trail across all recruiting stages.</t>
  </si>
  <si>
    <t>TC05-CSP</t>
  </si>
  <si>
    <t>REQ_CSP_0004</t>
  </si>
  <si>
    <t>Bulk Candidate Search</t>
  </si>
  <si>
    <t>Search for candidates using multiple email addresses at once and verify all matching candidates are returned correctly.</t>
  </si>
  <si>
    <t>1. User account provisioned with Recruiter role.
2. Candidate Search functionality is enabled.
3. Multiple candidate records exist with unique email addresses.
4. Recruiter has access to Candidate Search.
5. Test email addresses for existing candidates are available.</t>
  </si>
  <si>
    <t>1. Log in to Oracle Recruiting Cloud as Recruiter.
2. Navigate to Recruiting &gt; Candidates.
3. Open the Candidate Search page.
4. Enter multiple candidate email addresses in the search criteria using the supported multi-value search method.
5. Execute the search.
6. Review the search results returned by the system.
7. Verify that each entered email address has a corresponding candidate record in the results.
8. Open the returned candidate records and verify the email addresses.
9. Compare the returned results with the email addresses entered in the search criteria.
10. Review the search summary and total result count.</t>
  </si>
  <si>
    <t>1. Candidate Search page opens successfully.
2. System accepts multiple email addresses as search criteria.
3. Search executes successfully.
4. All candidates matching the entered email addresses are returned in the search results.
5. No valid matching candidate records are omitted from the results.
6. Candidate email addresses displayed in the results match the search criteria entered.
7. Search results accurately reflect the expected number of matching candidates.</t>
  </si>
  <si>
    <t>TC06-CSP</t>
  </si>
  <si>
    <t>REQ_CSP_0005</t>
  </si>
  <si>
    <t>Bulk Candidate Actions</t>
  </si>
  <si>
    <t>Select multiple candidates and perform a bulk move/update action, then verify all selected candidates are updated correctly.</t>
  </si>
  <si>
    <t>1. User account provisioned with Recruiter role.
2. Bulk candidate actions are enabled.
3. At least three candidate applications exist for the same requisition.
4. Candidates are eligible for the selected bulk move/update action.
5. Recruiter has permission to perform bulk candidate updates.</t>
  </si>
  <si>
    <t>1. Log in to Oracle Recruiting Cloud as Recruiter.
2. Navigate to Recruiting &gt; Candidates.
3. Search for and open the candidate list for a requisition.
4. Select multiple candidate applications.
5. Click Actions &gt; Bulk Update (or Bulk Move).
6. Choose the target phase, state, status, or update action.
7. Review the selected candidates and update details.
8. Submit the bulk update action.
9. Verify the update process completes successfully.
10. Open each updated candidate record.
11. Review the candidate phase, status, or updated field values.
12. Verify the changes are reflected in candidate search results and pipeline views.</t>
  </si>
  <si>
    <t>1. Multiple candidates can be selected for bulk processing.
2. Bulk update action is available for eligible candidates.
3. System processes the bulk update successfully.
4. All selected candidates receive the specified update.
5. Candidate phase, state, status, or field values are updated correctly.
6. Candidate records display the updated information consistently.
7. Candidate search results and pipeline views reflect the bulk changes accurately.</t>
  </si>
  <si>
    <t>TC07-CSP</t>
  </si>
  <si>
    <t>REQ_CSP_0006</t>
  </si>
  <si>
    <t>Candidate Status Labels</t>
  </si>
  <si>
    <t>Configure a custom candidate status label and verify it displays correctly wherever candidate status is shown.</t>
  </si>
  <si>
    <t>1. User account provisioned with Recruiting Administrator role.
2. User account provisioned with Recruiter role.
3. A custom candidate status label is configured in the Candidate Selection Process (CSP).
4. At least one candidate application exists.
5. Recruiter has permission to move candidates to the custom status.</t>
  </si>
  <si>
    <t>1. Log in to Oracle Recruiting Cloud as Recruiting Administrator.
2. Verify the custom candidate status label is configured and active.
3. Log out and log in as Recruiter.
4. Navigate to Recruiting &gt; Candidates.
5. Search for and open a candidate application.
6. Select the action to update the candidate status.
7. Choose the custom candidate status label.
8. Save the status update.
9. Refresh or reopen the candidate application.
10. Review the candidate status on the candidate profile.
11. Review candidate search results, candidate lists, and pipeline views.
12. Verify the custom status label is displayed consistently throughout the application.</t>
  </si>
  <si>
    <t>1. Custom candidate status label is available for selection.
2. Recruiter can update the candidate to the custom status.
3. Status update is saved successfully.
4. Custom status label is displayed correctly on the candidate profile.
5. Custom status label is displayed correctly in candidate search results.
6. Custom status label is displayed correctly in pipeline and candidate management views.
7. Candidate status information remains consistent across all locations where candidate status is displayed.</t>
  </si>
  <si>
    <t>TC021-JO</t>
  </si>
  <si>
    <t>REQ_JO_0020</t>
  </si>
  <si>
    <t>Offer Phase States</t>
  </si>
  <si>
    <t>verify the correct offer phase/state options (draft, approval, etc.) display to the recruiter in ORC.</t>
  </si>
  <si>
    <t>1. User account provisioned with Recruiter role.
2. Offer workflow is configured and active.
3. Candidate is available in Offer phase.
4. Offer phases and states (e.g., Draft, Approval, Extended, Accepted, Rejected) are configured in the Candidate Selection Process.
5. Recruiter has permission to create and manage offers.</t>
  </si>
  <si>
    <t>1. Log in to Oracle Recruiting Cloud as Recruiter.
2. Navigate to Recruiting &gt; Candidates.
3. Open a candidate application in Offer phase.
4. Create a new offer or open an existing offer.
5. Review the available offer phases and states.
6. Navigate through the offer workflow.
7. Open the Change State/Status action for the offer.
8. Review the available state options.
9. Move the offer to the next permitted state.
10. Save the changes.
11. Refresh or reopen the offer record.
12. Review the displayed offer phase and state information.</t>
  </si>
  <si>
    <t>1. Offer record opens successfully.
2. Configured offer phases and states are available to the Recruiter.
3. Only valid offer state options are displayed based on the current phase.
4. States such as Draft, Approval, Extended, Accepted, and other configured values display correctly.
5. Recruiter can select permitted state transitions.
6. Updated offer state is saved successfully.
7. Offer phase and state information display consistently across offer and candidate records.</t>
  </si>
  <si>
    <t>TC029-JR</t>
  </si>
  <si>
    <t>REQ_JR_0022</t>
  </si>
  <si>
    <t>System Status Labels</t>
  </si>
  <si>
    <t>Verify if system status label (e.g., 'Processed' to 'Hired') is renamed or not and verify if it displays correctly across all relevant screens/reports.</t>
  </si>
  <si>
    <t>1. User account provisioned with Recruiting Administrator role.
2. User account provisioned with Recruiter role.
3. A candidate status label has been renamed (e.g., Processed → Hired) or is configured for validation.
4. Candidate applications exist in the affected status.
5. Reporting and candidate management views are accessible.</t>
  </si>
  <si>
    <t>1. Log in to Oracle Recruiting Cloud as Recruiting Administrator.
2. Verify the candidate status label configuration.
3. Log out and log in as Recruiter.
4. Navigate to Recruiting &gt; Candidates.
5. Search for a candidate assigned to the renamed status.
6. Open the candidate application and review the displayed status.
7. Review candidate search results and candidate lists.
8. Review candidate pipeline and requisition candidate views.
9. Navigate to Reports and Analytics and run a report containing candidate status information.
10. Verify the displayed status label in the report.
11. Compare the displayed label across all available screens and reports.</t>
  </si>
  <si>
    <t>1. Renamed candidate status label is displayed according to configuration.
2. Candidate application displays the correct status label.
3. Candidate search results and candidate lists display the correct status label.
4. Pipeline and requisition candidate views display the correct status label.
5. Reports display the correct status label.
6. Status labels are displayed consistently across all applicable screens and reports.
7. No references to the previous status label are displayed where the rename has been configured.</t>
  </si>
  <si>
    <t>TC030-JR</t>
  </si>
  <si>
    <t>Recruiter/HM tries to search "Processed" requisition</t>
  </si>
  <si>
    <t>1. User account provisioned with Recruiter role or Hiring Manager role.
2. Candidate/requisition status label has been renamed from "Processed" to the configured replacement label (e.g., "Hired").
3. Candidate or requisition records exist in the renamed status.
4. Search functionality is enabled and accessible.
5. User has access to candidate/requisition search.</t>
  </si>
  <si>
    <t>1. Log in to Oracle Recruiting Cloud as Recruiter or Hiring Manager.
2. Navigate to the relevant Candidate or Requisition Search page.
3. Enter "Processed" in the status search criteria.
4. Execute the search.
5. Review the available status filters and search results.
6. Verify whether "Processed" is displayed as an available status value.
7. Search using the configured replacement status label (e.g., "Hired").
8. Execute the search.
9. Review the returned candidate or requisition records.
10. Compare the search results with the records assigned to the renamed status.</t>
  </si>
  <si>
    <t>1. Candidate transfer to the target requisition completes successfully.
2. Candidate appears on the target requisition.
3. Candidate phase and status are retained or mapped according to the configured transfer rules.
4. Candidate activity history remains available after the transfer.
5. Recruiter comments, interview records, and lifecycle activities are preserved.
6. Candidate information is consistent between source and target requisition records.
7. Candidate lifecycle continuity is maintained according to the configured requisition-transfer process.</t>
  </si>
  <si>
    <t>TC08-CSP</t>
  </si>
  <si>
    <t>REQ_CSP_0007</t>
  </si>
  <si>
    <t>Candidate Lifecycle Transfer</t>
  </si>
  <si>
    <t>Transfer a candidate's lifecycle from one requisition to another without a full pipeline move, and verify their history/status carries over correctly.</t>
  </si>
  <si>
    <t>1. User account provisioned with Recruiter role.
2. Source and target requisitions exist and are active.
3. Candidate application exists against the source requisition.
4. Candidate is eligible for transfer to another requisition.
5. Candidate activity history tracking is enabled.
6. Recruiter has permission to move or link candidates across requisitions.</t>
  </si>
  <si>
    <t>1. Log in to Oracle Recruiting Cloud as Recruiter.
2. Navigate to Recruiting &gt; Candidates.
3. Search for and open the candidate application on the source requisition.
4. Review and note the candidate's current phase, status, and activity history.
5. Select the action to move, copy, or link the candidate to another requisition without restarting the lifecycle.
6. Select the target requisition.
7. Complete and confirm the candidate transfer action.
8. Open the candidate application on the target requisition.
9. Review the candidate's phase, status, and activity history.
10. Compare the transferred information with the source requisition record.
11. Review recruiter comments, interview activity, and other lifecycle records.
12. Verify the candidate's recruiting history after the transfer.</t>
  </si>
  <si>
    <t>1. Candidate transfer to the target requisition completes successfully.
2. Candidate appears on the target requisition.
3. Candidate phase and status are retained or mapped according to the configured transfer rules.
4. Candidate activity history is available after the transfer.
5. Interview records, recruiter comments, attachments, and lifecycle activities are preserved.
6. Candidate information remains consistent between the source and target requisitions.
7. Candidate lifecycle continuity is maintained according to the configured requisition transfer process.</t>
  </si>
  <si>
    <t>TC011-CE</t>
  </si>
  <si>
    <t>REQ_CE_0011</t>
  </si>
  <si>
    <t>Career Site Import/Branding Reuse</t>
  </si>
  <si>
    <t>Import/reuse an existing Career Site branding template on a new site instance and verify the branding renders consistently.</t>
  </si>
  <si>
    <t>1. User account provisioned with Recruiting Administrator role.
2. An existing Career Site branding template is available.
3. A new Career Site instance has been created.
4. Career Site branding import/reuse functionality is enabled.
5. Employer branding assets such as logos, colours, banners, images, and CMS content are configured in the source template.</t>
  </si>
  <si>
    <t>1. Log in to Oracle Recruiting Cloud as Recruiting Administrator.
2. Navigate to Career Site configuration.
3. Open the new Career Site instance.
4. Import, copy, or reuse the existing Career Site branding template.
5. Save and publish the Career Site configuration.
6. Open the new Career Site.
7. Review the homepage branding elements.
8. Open an active job requisition on the new Career Site.
9. Review logos, colours, banners, images, navigation, and branding content.
10. Compare the branding with the original Career Site template.
11. Navigate through key Career Site pages and verify branding consistency.
12. Verify the site renders correctly across all reviewed pages.</t>
  </si>
  <si>
    <t>1. Existing Career Site branding template is successfully imported or reused.
2. New Career Site is published successfully.
3. Logos, colours, banners, images, and branding content display correctly.
4. Branding matches the source Career Site template.
5. Branding is consistently displayed across the homepage, job search pages, and job details pages.
6. Navigation, layout, and styling remain consistent throughout the Career Site.
7. Career Site branding renders according to the configured template without formatting issues.</t>
  </si>
  <si>
    <t>TC012-CE</t>
  </si>
  <si>
    <t>REQ_CE_0012</t>
  </si>
  <si>
    <t>AI Agent Reuse</t>
  </si>
  <si>
    <t>Reuse AI agents across career sites and verify it functions correctly/same without reconfiguration.</t>
  </si>
  <si>
    <t>1. User account provisioned with Recruiting Administrator role.
2. AI Recruiting Assistant/Agent is configured and active on an existing Career Site.
3. A second Career Site instance exists.
4. AI agent sharing/reuse functionality is available.
5. Test job requisitions are available on both Career Sites.
6. AI agent configuration has been published successfully.</t>
  </si>
  <si>
    <t>1. Log in to Oracle Recruiting Cloud as Recruiting Administrator.
2. Verify the AI agent is active and functioning on the source Career Site.
3. Associate or enable the existing AI agent on the target Career Site without performing additional agent configuration.
4. Publish the target Career Site.
5. Open the source Career Site and initiate an interaction with the AI agent.
6. Record the responses and available functions.
7. Open the target Career Site.
8. Initiate the same interaction with the AI agent.
9. Review the responses, prompts, and available functionality.
10. Verify job search, application guidance, and other configured AI capabilities.
11. Compare behaviour between the source and target Career Sites.
12. Review AI agent configuration to confirm no additional setup was required on the target site.</t>
  </si>
  <si>
    <t>1. Existing AI agent can be associated with the target Career Site successfully.
2. AI agent is available and accessible on both Career Sites.
3. AI agent responds successfully on the target Career Site.
4. Responses, prompts, and functionality are consistent across both Career Sites.
5. Job search, application guidance, and configured AI capabilities function correctly on both sites.
6. No additional AI agent configuration is required after reuse where supported by the design.
7. AI agent behaviour remains consistent across Career Sites according to the configured implementation.</t>
  </si>
  <si>
    <t>TC06-INT</t>
  </si>
  <si>
    <t>REQ_ING_0006</t>
  </si>
  <si>
    <t>Background Check Integration</t>
  </si>
  <si>
    <t>Trigger a background check from ORC for a candidate and verify the request is correctly sent to and processed by the external background-check vendor.</t>
  </si>
  <si>
    <t>1. User account provisioned with Recruiter role.
2. Background check integration is configured and active.
3. Candidate is in a phase eligible for background check initiation.
4. External background-check vendor integration is enabled and tested.
5. Candidate has all mandatory information required for background-check processing.
6. Recruiter has permission to initiate background checks.</t>
  </si>
  <si>
    <t>1. Log in to Oracle Recruiting Cloud as Recruiter.
2. Navigate to Recruiting &gt; Candidates.
3. Open a candidate application eligible for background check processing.
4. Review the candidate information required for the background check.
5. Select the action to initiate or request a background check.
6. Complete any required background check details.
7. Submit the background check request.
8. Review the background check status in ORC.
9. Verify the request has been transmitted to the external background-check vendor.
10. Review any returned transaction identifiers, statuses, or vendor references.
11. Monitor the background check request until a response or status update is received from the vendor.
12. Review the background check information on the candidate record.</t>
  </si>
  <si>
    <t>1. Candidate is eligible for background check initiation.
2. Background check request is created successfully.
3. Required candidate information is transmitted to the external background-check vendor.
4. ORC displays a successful background check request status.
5. Vendor receives and processes the background check request.
6. Background check status updates are returned to ORC according to the integration configuration.
7. Candidate record displays the correct background check status and related information.</t>
  </si>
  <si>
    <t>TC09-CSP</t>
  </si>
  <si>
    <t>REQ_CSP_0008</t>
  </si>
  <si>
    <t>Disposition Governance</t>
  </si>
  <si>
    <t>Log in as a Recruiting Administrator and verify only this role can set/change a candidate's disposition, while other roles cannot.</t>
  </si>
  <si>
    <t>1. User account provisioned with Recruiting Administrator role.
2. User account provisioned with Recruiter role.
3. User account provisioned with Hiring Manager role.
4. Candidate application exists and is eligible for disposition.
5. Candidate disposition functionality is enabled.
6. Security configuration restricts disposition actions to Recruiting Administrator role.</t>
  </si>
  <si>
    <t>1. Log in to Oracle Recruiting Cloud as Recruiting Administrator.
2. Navigate to Recruiting &gt; Candidates.
3. Open a candidate application.
4. Select the Disposition action.
5. Choose a disposition reason and save the update.
6. Verify the disposition is successfully applied.
7. Log out and log in as Recruiter.
8. Open the same candidate application.
9. Attempt to access or modify the candidate disposition.
10. Log out and log in as Hiring Manager.
11. Open the same candidate application.
12. Attempt to access or modify the candidate disposition.</t>
  </si>
  <si>
    <t>1. Recruiting Administrator can access the candidate disposition action.
2. Recruiting Administrator can successfully set or change the candidate disposition.
3. Candidate disposition is saved successfully.
4. Recruiter cannot set or modify candidate disposition.
5. Hiring Manager cannot set or modify candidate disposition.
6. Disposition actions are visible only to users with the appropriate permissions.
7. Candidate disposition security follows the configured role-based access rules.</t>
  </si>
  <si>
    <t>TC010-CSP</t>
  </si>
  <si>
    <t>Invalid/unathorized user tries to add/edit disposition</t>
  </si>
  <si>
    <t>1. User account provisioned with a role that is not authorized to manage candidate dispositions.
2. Candidate application exists and is eligible for disposition.
3. Candidate disposition functionality is enabled.
4. Security configuration restricts disposition actions to authorized roles only.
5. Unauthorized user has access to the candidate record.</t>
  </si>
  <si>
    <t>1. Log in to Oracle Recruiting Cloud as an unauthorized user.
2. Navigate to Recruiting &gt; Candidates.
3. Search for and open a candidate application.
4. Review the available candidate actions.
5. Attempt to access the Disposition action.
6. If accessible, attempt to add a candidate disposition.
7. Attempt to edit an existing candidate disposition.
8. Attempt to save the disposition changes.
9. Refresh or reopen the candidate application.
10. Review the candidate disposition information.
11. Verify whether any disposition updates were applied.</t>
  </si>
  <si>
    <t>1. Candidate application opens successfully.
2. Disposition action is hidden, disabled, or inaccessible to the unauthorized user.
3. Unauthorized user cannot add a candidate disposition.
4. Unauthorized user cannot edit an existing disposition.
5. System prevents unauthorized disposition updates from being saved.
6. Candidate disposition information remains unchanged.
7. Access to candidate disposition management follows the configured role-based security rules.</t>
  </si>
  <si>
    <t>TC011-CSP</t>
  </si>
  <si>
    <t>REQ_CSP_0009</t>
  </si>
  <si>
    <t>Recruiter vs HM Ownership</t>
  </si>
  <si>
    <t>Log in as a Hiring Manager and verify access is limited to View-Only on requisitions with restricted access to job applications, while the Recruiter retains full ownership.</t>
  </si>
  <si>
    <t>1. User account provisioned with Hiring Manager role.
2. User account provisioned with Recruiter role.
3. An active requisition exists and is assigned to the Hiring Manager.
4. Candidate applications exist against the requisition.
5. Security configuration grants View-Only access to the Hiring Manager and full ownership to the Recruiter.
6. Requisition and candidate application access controls are configured and active.</t>
  </si>
  <si>
    <t>1. Log in to Oracle Recruiting Cloud as Hiring Manager.
2. Navigate to My Team &gt; Hiring &gt; Job Requisitions.
3. Open an assigned requisition.
4. Review the requisition details and available actions.
5. Navigate to the Candidates section.
6. Open a candidate application linked to the requisition.
7. Review candidate information and available actions.
8. Attempt to edit requisition details.
9. Attempt to update candidate information, status, disposition, or offer-related data.
10. Log out and log in as Recruiter.
11. Open the same requisition and candidate application.
12. Verify the Recruiter can perform edit and management actions.</t>
  </si>
  <si>
    <t>1. Hiring Manager can access assigned requisitions.
2. Hiring Manager can view requisition details according to configured permissions.
3. Hiring Manager can view candidate applications associated with the requisition.
4. Hiring Manager cannot edit restricted requisition information.
5. Hiring Manager cannot update candidate application data beyond configured permissions.
6. Recruiter retains full ownership and management access to the requisition and candidate applications.
7. Access and functionality align with the configured role-based security model.</t>
  </si>
  <si>
    <t>TC012-CSP</t>
  </si>
  <si>
    <t>HM tries to edit requisition</t>
  </si>
  <si>
    <t>1. User account provisioned with Hiring Manager role.
2. An active requisition exists and is assigned to the Hiring Manager.
3. Requisition contains editable fields for Recruiters.
4. Security configuration restricts Hiring Manager edit access.
5. User account provisioned with Recruiter role for comparison.</t>
  </si>
  <si>
    <t>1. Log in to Oracle Recruiting Cloud as Hiring Manager.
2. Navigate to My Team &gt; Hiring &gt; Job Requisitions.
3. Open an assigned requisition.
4. Review the available requisition actions.
5. Attempt to edit requisition details.
6. Attempt to update one or more requisition fields.
7. Attempt to save the changes.
8. Review any validation or access-denied messages displayed.
9. Refresh or reopen the requisition.
10. Verify whether any changes were applied.
11. Log in as Recruiter and open the same requisition.
12. Verify Recruiter edit access on the requisition.</t>
  </si>
  <si>
    <t>1. Hiring Manager can access the assigned requisition.
2. Requisition details are visible according to configured permissions.
3. Edit actions are hidden, disabled, or restricted for the Hiring Manager.
4. Hiring Manager cannot modify requisition details.
5. System prevents unauthorized requisition updates from being saved.
6. Requisition data remains unchanged after the edit attempt.
7. Recruiter retains edit access and can successfully update the requisition according to configured permissions.</t>
  </si>
  <si>
    <t>TC013-CSP</t>
  </si>
  <si>
    <t>REQ_CSP_0010</t>
  </si>
  <si>
    <t>AI - JD to Questions</t>
  </si>
  <si>
    <t>Run the Gen AI JD-to-Questions feature against a sample job description and verify the generated questions are relevant and accurate.</t>
  </si>
  <si>
    <t>1. User account provisioned with Recruiter role.
2. Gen AI JD-to-Questions functionality is enabled.
3. A sample Job Description is available.
4. Recruiter has permission to generate interview or prescreening questions using Gen AI.
5. Question generation feature is configured and active.</t>
  </si>
  <si>
    <t>1. Log in to Oracle Recruiting Cloud as Recruiter.
2. Navigate to Recruiting &gt; Job Requisitions.
3. Create a new requisition or open an existing requisition.
4. Enter or upload the sample Job Description.
5. Launch the Gen AI JD-to-Questions feature.
6. Generate questions from the Job Description.
7. Review the generated questions.
8. Compare the generated questions with the skills, qualifications, responsibilities, and experience requirements defined in the Job Description.
9. Verify the generated questions cover key job requirements.
10. Review the generated questions for relevance, accuracy, and completeness.
11. Verify the generated questions can be added to the requisition, interview process, or prescreening template as configured.</t>
  </si>
  <si>
    <t>1. Gen AI JD-to-Questions feature launches successfully.
2. Questions are generated successfully from the Job Description.
3. Generated questions align with the skills, qualifications, responsibilities, and experience requirements defined in the Job Description.
4. Questions are relevant to the target role.
5. Questions are accurate and understandable.
6. Generated questions cover the major requirements described in the Job Description.
7. Generated questions can be used within the configured recruiting process.</t>
  </si>
  <si>
    <t>TC014-CSP</t>
  </si>
  <si>
    <t>REQ_CSP_0011</t>
  </si>
  <si>
    <t>Contextualization Rules</t>
  </si>
  <si>
    <t>Post requisitions with different region/job-family combinations and verify each surfaces the correctly contextualized prescreening question set.</t>
  </si>
  <si>
    <t>1. User account provisioned with Recruiter role.
2. Prescreening question sets are configured based on Region and Job Family.
3. Different requisition templates exist with unique Region and Job Family combinations.
4. Career Site is active and accessible.
5. Prescreening questions are enabled in the application flow.
6. Test candidate data is available.</t>
  </si>
  <si>
    <t>1. Log in to Oracle Recruiting Cloud as Recruiter.
2. Create and post Requisition A for Region A and Job Family A.
3. Create and post Requisition B for Region B and Job Family B.
4. Open the Career Site.
5. Search for and open Requisition A.
6. Click Apply and navigate to the prescreening section.
7. Review the prescreening questions presented for Requisition A.
8. Repeat the process for Requisition B.
9. Compare the prescreening questions against the configured Region and Job Family mappings.
10. Verify the questions displayed for each requisition.
11. Submit sample responses and review the candidate application in ORC.</t>
  </si>
  <si>
    <t>1. Requisitions are posted successfully.
2. Applications can be initiated successfully for each requisition.
3. Requisition A displays the prescreening question set configured for Region A and Job Family A.
4. Requisition B displays the prescreening question set configured for Region B and Job Family B.
5. Prescreening questions align with the configured Region and Job Family mappings.
6. Candidate responses are captured successfully.
7. Prescreening question sets are surfaced correctly based on the requisition configuration.</t>
  </si>
  <si>
    <t>TC015-CSP</t>
  </si>
  <si>
    <t>REQ_CSP_0012</t>
  </si>
  <si>
    <t>Job Codes / Prescreening Updates</t>
  </si>
  <si>
    <t>Add a newly onboarded country/entity's job codes and prescreening questions and verify a requisition can be posted successfully using them.</t>
  </si>
  <si>
    <t>1. User account provisioned with Recruiting Administrator role.
2. A new country/entity is configured in Oracle Recruiting Cloud.
3. New job codes are configured and active for the country/entity.
4. Prescreening question sets are configured for the new country/entity.
5. Recruiter has permission to create and post requisitions.
6. Career Site is active and accessible.</t>
  </si>
  <si>
    <t>1. Log in to Oracle Recruiting Cloud as Recruiting Administrator.
2. Verify the new country/entity job codes are configured and available.
3. Verify the prescreening question set is configured for the new country/entity.
4. Log out and log in as Recruiter.
5. Navigate to Recruiting &gt; Job Requisitions.
6. Create a new requisition for the newly onboarded country/entity.
7. Select one of the newly configured job codes.
8. Associate the requisition with the configured prescreening question set.
9. Complete the mandatory requisition details.
10. Submit and post the requisition.
11. Open the Career Site and locate the newly posted requisition.
12. Start an application and review the prescreening questions displayed.</t>
  </si>
  <si>
    <t>1. Newly configured job codes are available for selection.
2. Prescreening question set is available for the new country/entity.
3. Requisition can be created successfully using the new job code.
4. Requisition is posted successfully.
5. Applicants can access the requisition from the Career Site.
6. Correct prescreening questions are displayed during the application process.
7. Job code and prescreening configuration function correctly for the newly onboarded country/entity.</t>
  </si>
  <si>
    <t>Lisa</t>
  </si>
  <si>
    <t>TC08-INTM</t>
  </si>
  <si>
    <t>REQ_INTM_0007</t>
  </si>
  <si>
    <t>Candidate/HM Survey Framework</t>
  </si>
  <si>
    <t>Trigger a candidate/hiring manager survey at the defined stage and verify the correct questions, response format, and scoring/weightage are applied.</t>
  </si>
  <si>
    <t>1. User account provisioned with Recruiter role.
2. Candidate Survey and/or Hiring Manager Survey functionality is enabled.
3. Survey trigger point is configured within the Candidate Selection Process (CSP).
4. Survey template contains configured questions, response types, scoring, and weightage.
5. A candidate exists in a phase that can trigger the survey.
6. Hiring Manager is assigned to the requisition.</t>
  </si>
  <si>
    <t>1. Log in to Oracle Recruiting Cloud as Recruiter.
2. Navigate to Recruiting &gt; Candidates.
3. Open the candidate application.
4. Progress the candidate to the stage configured to trigger the survey.
5. Complete the action that initiates the survey (e.g., Interview Complete, Offer Complete, Hire Complete).
6. Verify the survey is generated and sent to the intended recipient (Candidate or Hiring Manager).
7. Open the survey.
8. Review the survey questions displayed.
9. Review the response format for each question (rating scale, multiple choice, free text, etc.).
10. Complete and submit the survey.
11. Review the survey configuration or survey results.
12. Verify the scoring and weightage assigned to the survey responses.</t>
  </si>
  <si>
    <t>1. Survey is triggered at the configured stage of the recruiting process.
2. Survey is delivered to the correct recipient.
3. Correct survey questions are displayed according to the configured survey template.
4. Response formats match the configured question types.
5. Survey responses can be submitted successfully.
6. Configured scoring and weightage are applied correctly.
7. Survey results reflect the configured scoring model and response data.</t>
  </si>
  <si>
    <t>TC09-INTM</t>
  </si>
  <si>
    <t>REQ_INTM_0008</t>
  </si>
  <si>
    <t>Survey Reporting</t>
  </si>
  <si>
    <t>Generate the survey reporting output and verify aggregated scores, trends, and positive/negative/neutral groupings display correctly.</t>
  </si>
  <si>
    <t>1. User account provisioned with Recruiter or Reporting role.
2. Candidate and/or Hiring Manager surveys have been completed.
3. Survey scoring and weightage configuration is active.
4. Survey reporting dashboard, OTBI report, or BIP report is available.
5. Survey responses include positive, neutral, and negative feedback data.
6. Reporting permissions are assigned to the user.</t>
  </si>
  <si>
    <t>1. Log in to Oracle Recruiting Cloud.
2. Navigate to Tools &gt; Reports and Analytics or the Survey Reporting dashboard.
3. Open the survey reporting output.
4. Enter the required report parameters.
5. Run the report.
6. Review aggregated survey scores.
7. Review survey trend information.
8. Review positive, neutral, and negative response groupings.
9. Compare reported results with known survey responses.
10. Verify scoring calculations and weightage application.
11. Review report totals, charts, and summary metrics.
12. Validate the results against the survey configuration.</t>
  </si>
  <si>
    <t>1. Survey report executes successfully.
2. Aggregated survey scores are displayed correctly.
3. Configured scoring and weightage values are reflected in the report output.
4. Survey trends are displayed accurately.
5. Positive, neutral, and negative response groupings are displayed correctly.
6. Summary metrics, charts, and report totals align with the underlying survey responses.
7. Survey reporting output reflects the configured survey scoring model and response data.</t>
  </si>
  <si>
    <t>TC031-JR</t>
  </si>
  <si>
    <t>REQ_JR_0023</t>
  </si>
  <si>
    <t>Agency Onboarding Governance</t>
  </si>
  <si>
    <t>Create an agency record in ORC without completed procurement approval/contract sign-off and verify the system blocks creation until the approval gate is satisfied.</t>
  </si>
  <si>
    <t>1. User account provisioned with Recruiting Administrator role.
2. Agency creation functionality is enabled in ORC.
3. Procurement approval and contract sign-off are configured as mandatory prerequisites for agency onboarding.
4. Approval workflow is active and enforced.
5. No approved procurement record or signed contract exists for the test agency.</t>
  </si>
  <si>
    <t>1. Log in to Oracle Recruiting Cloud as Recruiting Administrator.
2. Navigate to Recruiting Configuration &gt; Agencies.
3. Select Create Agency.
4. Enter the required agency information.
5. Leave procurement approval and/or contract sign-off incomplete.
6. Attempt to save or activate the agency record.
7. Review any validation or approval messages displayed.
8. Verify the agency status after the save attempt.
9. Review the agency record and onboarding workflow details.
10. Verify whether the agency is available for recruiter use.</t>
  </si>
  <si>
    <t>1. Agency creation page opens successfully.
2. Agency information can be entered successfully.
3. System validates procurement approval and contract sign-off requirements.
4. Agency creation or activation is blocked when mandatory approvals are incomplete.
5. Appropriate validation or approval-gate messages are displayed.
6. Agency record cannot move to an active state until the required approvals are completed.
7. Agency is not available for recruiter use while the approval gate remains unsatisfied.</t>
  </si>
  <si>
    <t>TC016-CSP</t>
  </si>
  <si>
    <t>REQ_CSP_0013</t>
  </si>
  <si>
    <t>Duplicate Check Checkpoints</t>
  </si>
  <si>
    <t>Submit candidates at entry, pre-screening, and pre-offer/post-offer stages with duplicate details and verify the duplicate-check triggers at each configured checkpoint.</t>
  </si>
  <si>
    <t>1. User account provisioned with Recruiter role.
2. Duplicate Management functionality is enabled.
3. Duplicate checks are configured at Entry, Pre-Screening, and Pre-Offer/Post-Offer checkpoints.
4. Existing candidate records are available in the system.
5. Test candidate data matching existing candidate records is available.
6. Candidate Selection Process is configured with duplicate-check validation points.</t>
  </si>
  <si>
    <t>1. Log in to Oracle Recruiting Cloud as Recruiter.
2. Submit a new candidate application using details that match an existing candidate record.
3. Verify the duplicate-check behaviour at the application entry stage.
4. Progress a candidate to the Pre-Screening stage.
5. Update or submit candidate information that matches an existing candidate record.
6. Verify the duplicate-check behaviour at the Pre-Screening checkpoint.
7. Progress a candidate to the Pre-Offer/Post-Offer stage.
8. Update or submit candidate information that matches an existing candidate record.
9. Verify the duplicate-check behaviour at the Pre-Offer/Post-Offer checkpoint.
10. Review duplicate alerts, warnings, or actions generated by the system.
11. Verify duplicate candidate records identified by the system at each checkpoint.
12. Review candidate profiles and duplicate management details.</t>
  </si>
  <si>
    <t>1. Duplicate checks are triggered at the configured Entry checkpoint.
2. Duplicate checks are triggered at the configured Pre-Screening checkpoint.
3. Duplicate checks are triggered at the configured Pre-Offer/Post-Offer checkpoint.
4. System identifies existing matching candidate records according to configured matching rules.
5. Appropriate duplicate warnings, alerts, or actions are displayed.
6. Duplicate candidate information is available for recruiter review.
7. Duplicate management behaviour is consistent with the configured duplicate-check strategy at each checkpoint.</t>
  </si>
  <si>
    <t>TC017-CSP</t>
  </si>
  <si>
    <t>Submit candidates at entry, pre-screening, and pre-offer/post-offer stages with unique details and verify the duplicate-check triggers or not</t>
  </si>
  <si>
    <t>1. User account provisioned with Recruiter role.
2. Duplicate Management functionality is enabled.
3. Duplicate checks are configured at Entry, Pre-Screening, and Pre-Offer/Post-Offer checkpoints.
4. No existing candidate records match the test candidate details.
5. Test candidate data with unique email address, phone number, and personal details is available.
6. Candidate Selection Process is configured with duplicate-check validation points.</t>
  </si>
  <si>
    <t>1. Log in to Oracle Recruiting Cloud as Recruiter.
2. Submit a new candidate application using unique candidate details.
3. Verify the duplicate-check behaviour at the application entry stage.
4. Progress the candidate to the Pre-Screening stage.
5. Update or submit candidate information using unique details.
6. Verify the duplicate-check behaviour at the Pre-Screening checkpoint.
7. Progress the candidate to the Pre-Offer/Post-Offer stage.
8. Update or submit candidate information using unique details.
9. Verify the duplicate-check behaviour at the Pre-Offer/Post-Offer checkpoint.
10. Review duplicate alerts, warnings, or notifications generated by the system.
11. Review the candidate profile and duplicate management information.
12. Verify candidate progression through all configured checkpoints.</t>
  </si>
  <si>
    <t>1. Duplicate-check process executes at the Entry checkpoint according to configuration.
2. Duplicate-check process executes at the Pre-Screening checkpoint according to configuration.
3. Duplicate-check process executes at the Pre-Offer/Post-Offer checkpoint according to configuration.
4. No duplicate candidate records are identified.
5. No duplicate warnings, alerts, or blocking actions are generated.
6. Candidate progresses successfully through all configured checkpoints.
7. Duplicate management logic correctly recognises the candidate as unique.</t>
  </si>
  <si>
    <t>TC018-CSP</t>
  </si>
  <si>
    <t>REQ_CSP_0014</t>
  </si>
  <si>
    <t>Duplicate Match Logic</t>
  </si>
  <si>
    <t>Submit a candidate whose email differs but name and other compliant attributes match an existing record, and verify the enhanced duplicate logic still flags the match.</t>
  </si>
  <si>
    <t>1. User account provisioned with Recruiter role.
2. Enhanced Duplicate Management functionality is enabled.
3. Duplicate matching rules are configured to evaluate attributes beyond email address.
4. An existing candidate record is available in the system.
5. Test candidate data is available with a different email address but matching name and other configured matching attributes.
6. Candidate Selection Process is configured with duplicate-check validation.</t>
  </si>
  <si>
    <t>1. Log in to Oracle Recruiting Cloud as Recruiter.
2. Create or submit a candidate application using a different email address from an existing candidate.
3. Ensure the candidate's name and other configured matching attributes match the existing candidate record.
4. Complete the required application details.
5. Submit the candidate application.
6. Review duplicate-management alerts, warnings, or notifications generated by the system.
7. Open the duplicate candidate review details.
8. Compare the new candidate information with the existing candidate record.
9. Review the matching criteria used by the duplicate-check process.
10. Verify whether the system identifies the candidate as a potential duplicate.
11. Review recruiter actions available for duplicate resolution.
12. Verify the duplicate candidate status and handling outcome.</t>
  </si>
  <si>
    <t>1. Candidate application is submitted successfully.
2. Duplicate-check process executes according to the configured matching rules.
3. System evaluates candidate attributes beyond email address.
4. Candidate is identified as a potential duplicate when configured matching attributes meet duplicate criteria.
5. Duplicate alerts, warnings, or notifications are displayed to the Recruiter.
6. Existing matching candidate records are presented for review.
7. Duplicate identification follows the configured enhanced duplicate-management logic.</t>
  </si>
  <si>
    <t>TC019-CSP</t>
  </si>
  <si>
    <t>REQ_CSP_0015</t>
  </si>
  <si>
    <t>Source Ownership Logic</t>
  </si>
  <si>
    <t>Assign a source to a candidate from multiple channels and verify the system applies the correct source ownership/retention rule (primary source retained per validity window).</t>
  </si>
  <si>
    <t>1. User account provisioned with Recruiter role.
2. Source tracking functionality is enabled.
3. Multiple candidate source channels are configured (e.g., Referral, Agency, Job Board, Career Site).
4. Source ownership and retention rules are configured, including primary source validity windows.
5. A candidate record is available for source assignment testing.
6. Recruiter has permission to update candidate source information.</t>
  </si>
  <si>
    <t>1. Log in to Oracle Recruiting Cloud as Recruiter.
2. Navigate to Recruiting &gt; Candidates.
3. Search for and open the candidate profile.
4. Assign Source A as the candidate's source and save the update.
5. Verify Source A is recorded as the primary source.
6. Assign Source B to the same candidate within the configured retention validity window.
7. Save the update and review the candidate source information.
8. Verify the system applies the configured ownership and retention rules.
9. If applicable, assign Source C after the validity window has expired.
10. Save the update and review the source ownership information.
11. Review candidate source history and attribution details.
12. Verify the final source assignment displayed on the candidate record.</t>
  </si>
  <si>
    <t>1. Candidate source information can be updated successfully.
2. Source ownership rules are applied according to configuration.
3. Primary source is retained during the configured validity window.
4. Additional sources are handled according to the configured retention logic.
5. Source attribution history is recorded correctly.
6. Source ownership and attribution data display correctly on the candidate record.
7. Candidate source tracking follows the configured source-retention policy.</t>
  </si>
  <si>
    <t>TC020-CSP</t>
  </si>
  <si>
    <t>REQ_CSP_0016</t>
  </si>
  <si>
    <t>Source Edit Access Control</t>
  </si>
  <si>
    <t>Log in as a permitted Recruiter and attempt to edit a candidate's source field, then verify the edit is allowed</t>
  </si>
  <si>
    <t>1. User account provisioned with Recruiter role.
2. Recruiter is granted permission to edit candidate source information.
3. Candidate source tracking functionality is enabled.
4. A candidate record exists with an assigned source.
5. Multiple candidate source values are configured in the system.</t>
  </si>
  <si>
    <t>1. Log in to Oracle Recruiting Cloud as Recruiter.
2. Navigate to Recruiting &gt; Candidates.
3. Search for and open a candidate profile.
4. Review the current candidate source value.
5. Select the Edit action for candidate details.
6. Update the source field to a different valid source value.
7. Save the changes.
8. Refresh or reopen the candidate profile.
9. Review the updated source information.
10. Review candidate source history or audit details, if configured.
11. Verify the updated source is displayed across applicable candidate pages.</t>
  </si>
  <si>
    <t>1. Recruiter can access the candidate source field.
2. Source field is editable for the Recruiter.
3. Recruiter can select a valid source value.
4. Source update is saved successfully.
5. Updated source value is displayed on the candidate profile.
6. Candidate source history or audit information reflects the update where configured.
7. Candidate source information is displayed consistently across applicable candidate records and views.</t>
  </si>
  <si>
    <t>TC021-CSP</t>
  </si>
  <si>
    <t>Unauthorized Recriiter tries to edit  candidate source</t>
  </si>
  <si>
    <t>1. User account provisioned with Recruiter role that is not authorized to edit candidate source information.
2. Candidate source tracking functionality is enabled.
3. A candidate record exists with an assigned source.
4. Source edit permissions are restricted through role-based security.
5. Candidate source values are configured in the system.</t>
  </si>
  <si>
    <t>1. Log in to Oracle Recruiting Cloud as an unauthorized Recruiter.
2. Navigate to Recruiting &gt; Candidates.
3. Search for and open a candidate profile.
4. Review the current candidate source value.
5. Attempt to access the Edit action for candidate details.
6. Attempt to modify the candidate source field.
7. If editable, select a different source value.
8. Attempt to save the changes.
9. Observe any validation or access-denied messages.
10. Refresh or reopen the candidate profile.
11. Review the candidate source information.</t>
  </si>
  <si>
    <t>1. Candidate profile opens successfully.
2. Candidate source information is visible according to configured permissions.
3. Source field is hidden, disabled, or read-only for the unauthorized Recruiter.
4. Unauthorized Recruiter cannot modify the source field.
5. System prevents unauthorized source updates from being saved.
6. Appropriate security or validation messages are displayed where applicable.
7. Candidate source information remains unchanged.</t>
  </si>
  <si>
    <t>TC022-CSP</t>
  </si>
  <si>
    <t>REQ_CSP_0017</t>
  </si>
  <si>
    <t>Source Taxonomy</t>
  </si>
  <si>
    <t>Tag a candidate source using the configured taxonomy (Category/Channel/Method/Owner/Campaign) and verify the hierarchy captures and reports correctly.</t>
  </si>
  <si>
    <t>1. User account provisioned with Recruiter role.
2. Source taxonomy hierarchy is configured with Category, Channel, Method, Owner, and Campaign values.
3. Candidate source tracking functionality is enabled.
4. A candidate record exists for source attribution testing.
5. Source reporting is enabled and accessible.</t>
  </si>
  <si>
    <t>1. Log in to Oracle Recruiting Cloud as Recruiter.
2. Navigate to Recruiting &gt; Candidates.
3. Search for and open a candidate profile.
4. Edit the candidate source information.
5. Select a Source Category.
6. Select the associated Source Channel.
7. Select the Source Method.
8. Assign the Source Owner.
9. Select a Campaign value.
10. Save the source information.
11. Review the candidate profile and source details.
12. Navigate to the applicable source reporting dashboard or report.
13. Search for the candidate and review the source attribution hierarchy.</t>
  </si>
  <si>
    <t>1. Source Category can be selected successfully.
2. Source Channel, Method, Owner, and Campaign values are available according to the configured taxonomy.
3. Source hierarchy information is saved successfully on the candidate record.
4. Candidate profile displays the complete source hierarchy correctly.
5. Source attribution data is available in reporting.
6. Reports display the correct Category, Channel, Method, Owner, and Campaign values.
7. Source hierarchy and attribution are captured and reported according to the configured taxonomy structure.</t>
  </si>
  <si>
    <t>TC01-SEC</t>
  </si>
  <si>
    <t>REQ_SEC_0001</t>
  </si>
  <si>
    <t>Security</t>
  </si>
  <si>
    <t>Agency View Restriction</t>
  </si>
  <si>
    <t>Log in as a Hiring Manager and verify the Agency view/tab is not visible or accessible.</t>
  </si>
  <si>
    <t>1. User account provisioned with Hiring Manager role.
2. Agency functionality is enabled in Oracle Recruiting Cloud.
3. Agency management access is restricted to authorized Recruiting roles.
4. At least one agency record exists in the system.
5. Hiring Manager has access to Recruiting-related work areas as configured.</t>
  </si>
  <si>
    <t>1. Log in to Oracle Recruiting Cloud as Hiring Manager.
2. Navigate to My Team &gt; Hiring.
3. Review the available tabs, menus, and work areas.
4. Search for any Agency-related tab, menu, or navigation option.
5. Attempt to access Agency Management through the navigation menu.
6. Attempt to locate Agency-related actions from a requisition.
7. Attempt to access an Agency page using a direct URL (if available).
8. Review any error, validation, or access messages displayed.
9. Verify the Hiring Manager's available Recruiting functions.
10. Compare access with a user who has authorized Agency-management permissions.</t>
  </si>
  <si>
    <t>1. Hiring Manager can access only the Recruiting functions assigned to the role.
2. Agency tab or Agency Management option is not visible to the Hiring Manager.
3. Hiring Manager cannot access Agency Management through navigation menus.
4. Direct URL access to Agency pages is blocked.
5. Appropriate security or access-denied messages are displayed where applicable.
6. Agency records and Agency administration functions are inaccessible to the Hiring Manager.
7. Agency access restrictions follow the configured role-based security model.</t>
  </si>
  <si>
    <t>TC02-SEC</t>
  </si>
  <si>
    <t>Log in as a permitted role and verify the Agency view/tab is visible or accessible.</t>
  </si>
  <si>
    <t>1. User account provisioned with a role authorized to access Agency Management (e.g., Recruiting Administrator or Recruiter).
2. Agency functionality is enabled in Oracle Recruiting Cloud.
3. At least one Agency record exists in the system.
4. Agency access permissions are configured for the authorized role.
5. User has access to Recruiting Configuration or Agency Management functions.</t>
  </si>
  <si>
    <t>1. Log in to Oracle Recruiting Cloud using an authorized role.
2. Navigate to the Recruiting work area or Recruiting Configuration area.
3. Review the available tabs, menus, and navigation options.
4. Locate the Agency tab or Agency Management option.
5. Open the Agency Management page.
6. Search for an existing Agency record.
7. Open an Agency record and review its details.
8. Verify available Agency-related actions.
9. Navigate between Agency records and related pages.
10. Confirm access to Agency Management functions.</t>
  </si>
  <si>
    <t>1. User can successfully access the Recruiting work area.
2. Agency tab or Agency Management option is visible to the authorized role.
3. Agency Management page opens successfully.
4. Existing Agency records are visible and searchable.
5. User can access Agency details according to assigned permissions.
6. Agency-related functions are available to the authorized role.
7. Agency access aligns with the configured role-based security model.</t>
  </si>
  <si>
    <t>TC023-CSP</t>
  </si>
  <si>
    <t>REQ_CSP_0018</t>
  </si>
  <si>
    <t>Source Ownership Retention</t>
  </si>
  <si>
    <t>Recruiter attempts to change a candidate's retained source ownership value and verify the system prevents the change,</t>
  </si>
  <si>
    <t>1. User account provisioned with Recruiter role.
2. Candidate source tracking functionality is enabled.
3. Source ownership retention rules are configured and active.
4. A candidate record exists with a retained/locked source ownership value.
5. Recruiter has access to the candidate profile but is restricted from changing retained source ownership values.</t>
  </si>
  <si>
    <t>1. Log in to Oracle Recruiting Cloud as Recruiter.
2. Navigate to Recruiting &gt; Candidates.
3. Search for and open a candidate profile with a retained source ownership value.
4. Review the current source ownership information.
5. Attempt to edit the retained source ownership field.
6. Select a different source owner or source attribution value.
7. Attempt to save the changes.
8. Observe any validation or access-control messages.
9. Refresh or reopen the candidate profile.
10. Review the source ownership information after the update attempt.
11. Verify whether any source ownership changes were applied.</t>
  </si>
  <si>
    <t>1. Candidate profile opens successfully.
2. Retained source ownership information is displayed correctly.
3. System enforces the configured source ownership retention rules.
4. Recruiter cannot modify the retained source ownership value.
5. System prevents unauthorized source ownership changes from being saved.
6. Appropriate validation or restriction messages are displayed where configured.
7. Original source ownership value remains unchanged.</t>
  </si>
  <si>
    <t>TC01-AI</t>
  </si>
  <si>
    <t>REQ_AI_0001</t>
  </si>
  <si>
    <t>AI Agents</t>
  </si>
  <si>
    <t>AI Referral Matching</t>
  </si>
  <si>
    <t>Upload an employee referral resume and verify whether an AI recommendation engine matches it to relevant open jobs, or confirm the capability is unavailable.</t>
  </si>
  <si>
    <t>1. User account provisioned with Employee (Referrer) role.
2. Employee Referral functionality is enabled.
3. AI recommendation/job matching capability is configured if included in the solution design.
4. Active requisitions exist with skills and qualifications matching the test resume.
5. Test candidate resume is available.
6. Career Site and referral functionality are active.</t>
  </si>
  <si>
    <t>1. Log in to Oracle Recruiting Cloud as Employee (Referrer).
2. Navigate to Me &gt; Referrals.
3. Select the option to refer a candidate.
4. Upload the candidate resume.
5. Complete the required candidate details.
6. Observe whether the system initiates AI-driven job matching or recommendation processing.
7. Review any recommended job requisitions presented by the system.
8. Compare the recommended jobs against the skills and qualifications contained in the resume.
9. Complete the referral process if applicable.
10. Review the referral details and any associated job recommendations.
11. Verify whether job recommendations are stored or displayed within the referral record.</t>
  </si>
  <si>
    <t>1. Candidate resume uploads successfully.
2. Referral information is captured successfully.
3. If AI job matching is configured, relevant job recommendations are generated based on the resume content.
4. Recommended jobs align with the candidate's skills, experience, and qualifications.
5. Recommended requisitions are displayed correctly within the referral process.
6. If AI job matching is not part of the implemented solution, no recommendation functionality is available and the referral proceeds using standard referral processing.
7. System behaviour aligns with the configured referral and AI recommendation design.</t>
  </si>
  <si>
    <t>TC07-INT</t>
  </si>
  <si>
    <t>REQ_ING_0007</t>
  </si>
  <si>
    <t>Document Storage Integration</t>
  </si>
  <si>
    <t>Store a recruiting document per the chosen strategy (ATS vs. HRE/eStorage) and verify it is retrievable correctly from the selected storage location.</t>
  </si>
  <si>
    <t>1. User account provisioned with Recruiter role.
2. Recruiting document storage strategy is configured (ATS, HRE, eStorage, or equivalent repository).
3. Document upload functionality is enabled.
4. Candidate or requisition record exists for document association.
5. User has permission to upload and retrieve recruiting documents.</t>
  </si>
  <si>
    <t>1. Log in to Oracle Recruiting Cloud as Recruiter.
2. Navigate to the candidate, requisition, or offer record.
3. Upload a recruiting document.
4. Associate the document with the appropriate recruiting record.
5. Save the document.
6. Verify the document is stored according to the configured storage strategy.
7. Note the configured storage destination (ATS, HRE, eStorage, etc.).
8. Navigate to the document retrieval location.
9. Search for the uploaded document.
10. Open the retrieved document.
11. Verify the document contents and metadata.
12. Confirm the document is associated with the correct recruiting record.</t>
  </si>
  <si>
    <t>1. Recruiting document uploads successfully.
2. Document is stored in the configured storage repository.
3. Document is associated with the correct candidate, requisition, or offer record.
4. Document can be located from the configured storage location.
5. Retrieved document matches the uploaded document.
6. Document metadata and associations are retained correctly.
7. Recruiting document storage and retrieval behaviour follows the configured storage strategy.</t>
  </si>
  <si>
    <t>TC08-INT</t>
  </si>
  <si>
    <t>REQ_ING_0008</t>
  </si>
  <si>
    <t>Onboarding-PeopleSoft Integration</t>
  </si>
  <si>
    <t>Complete an offer acceptance/pre-hire onboarding step and verify the relevant data correctly flows from Onboarding into PeopleSoft via the HCM Extract/BIP data flow.</t>
  </si>
  <si>
    <t>1. User account provisioned with Recruiter, HR Specialist, or Onboarding Administrator role.
2. Candidate has an approved and extended offer in Oracle Recruiting Cloud.
3. Candidate has accepted the offer and is eligible for pre-hire onboarding.
4. Onboarding journey and applicable pre-hire tasks are configured and active.
5. Integration from Oracle HCM Onboarding to PeopleSoft using HCM Extract/BIP is configured and active.
6. Required candidate, employment, assignment, and onboarding fields are mapped between Oracle HCM and PeopleSoft.
7. User has access to review HCM Extract/BIP execution results and PeopleSoft target data.</t>
  </si>
  <si>
    <t>1. Log in to Oracle Recruiting Cloud as Recruiter.
2. Navigate to Recruiting &gt; Candidates and open the candidate application.
3. Verify the offer is accepted and move the candidate to the applicable HR/Onboarding phase.
4. Open the candidate’s pending worker or onboarding record.
5. Complete the required pre-hire onboarding task and enter the mandatory personal, employment, assignment, and joining information.
6. Submit the onboarding task and verify the information is saved successfully.
7. Run or verify the scheduled HCM Extract/BIP process for the PeopleSoft interface.
8. Review the extract process status and output file.
9. Verify the candidate’s onboarding data is included in the extract output.
10. Access the PeopleSoft target environment or integration validation output.
11. Search for the candidate using the configured unique identifier.
12. Compare the PeopleSoft data with the accepted offer, pending worker, and onboarding records in Oracle HCM.
13. Review the integration status and any error or reconciliation details.</t>
  </si>
  <si>
    <t>1. Accepted candidate is moved successfully to the HR/Onboarding process.
2. Applicable onboarding journey and pre-hire tasks are assigned successfully.
3. Pre-hire onboarding information is captured and saved against the correct candidate or pending worker.
4. HCM Extract/BIP process completes successfully.
5. Candidate data is included in the integration output according to the configured field mapping.
6. PeopleSoft receives the relevant candidate, employment, assignment, and onboarding information.
7. Values in PeopleSoft match the corresponding accepted offer and onboarding data in Oracle HCM.
8. Integration status shows successful processing without rejected or unmapped mandatory fields.</t>
  </si>
  <si>
    <t>TC09-INT</t>
  </si>
  <si>
    <t>REQ_ING_0009</t>
  </si>
  <si>
    <t>Document Records - eStorage</t>
  </si>
  <si>
    <t>Take a recruiting-specific document through the confirmed integration or migration path to eStorage and verify it lands correctly and remains retrievable.</t>
  </si>
  <si>
    <t>1. User account provisioned with Recruiter role.
2. Recruiting document integration or migration to eStorage is configured and active.
3. eStorage repository is accessible.
4. Candidate, requisition, or offer record exists for document association.
5. Test recruiting document is available.
6. User has permission to upload and retrieve recruiting documents.</t>
  </si>
  <si>
    <t>1. Log in to Oracle Recruiting Cloud as Recruiter.
2. Navigate to the candidate, requisition, or offer record.
3. Upload the recruiting document.
4. Associate the document with the selected recruiting record.
5. Save the document.
6. Trigger the configured integration or migration process to eStorage.
7. Verify the integration or migration process completes successfully.
8. Navigate to the eStorage repository.
9. Search for the uploaded document.
10. Open the retrieved document.
11. Review the document metadata and associated recruiting record information.
12. Verify the document remains accessible from both the recruiting record and eStorage location.</t>
  </si>
  <si>
    <t>1. Recruiting document uploads successfully.
2. Document is associated with the correct recruiting record.
3. Integration or migration process completes successfully.
4. Document is transferred to the configured eStorage repository.
5. Document can be located and retrieved from eStorage.
6. Retrieved document matches the original uploaded document.
7. Document metadata and recruiting record associations are retained correctly.
8. Recruiting document remains retrievable according to the configured storage strategy.</t>
  </si>
  <si>
    <t>TC013-CE</t>
  </si>
  <si>
    <t>REQ_CE_0013</t>
  </si>
  <si>
    <t>Duplicate/Prior Application Visibility</t>
  </si>
  <si>
    <t>Submit a duplicate/prior application for an existing candidate and verify the recruiter can see the prior application and duplicate flag on the candidate profile.</t>
  </si>
  <si>
    <t>1. User account provisioned with Recruiter role.
2. Duplicate Management functionality is enabled.
3. An existing candidate record and application already exist in the system.
4. Duplicate candidate identification rules are configured and active.
5. Test candidate data matching the existing candidate record is available.
6. Recruiter has access to candidate profiles and application history.</t>
  </si>
  <si>
    <t>1. Submit a new application using candidate details matching an existing candidate record.
2. Log in to Oracle Recruiting Cloud as Recruiter.
3. Navigate to Recruiting &gt; Candidates.
4. Search for the candidate using the matching candidate details.
5. Open the candidate profile.
6. Review the candidate summary information.
7. Review candidate application history.
8. Review duplicate candidate indicators, warnings, or alerts.
9. Open the prior application record.
10. Compare the prior and current application details.
11. Review candidate lifecycle history and application timeline.
12. Verify duplicate candidate information displayed on the profile.</t>
  </si>
  <si>
    <t>1. Duplicate-check process identifies the candidate as a matching existing record.
2. Candidate profile displays a duplicate candidate indicator according to configuration.
3. Recruiter can access the candidate's prior application history.
4. Current and prior applications are visible from the candidate profile.
5. Duplicate warnings, alerts, or indicators display correctly.
6. Candidate application history accurately reflects all applications associated with the candidate.
7. Duplicate candidate information is available for recruiter review and decision-making.</t>
  </si>
  <si>
    <t>TC03-SEC</t>
  </si>
  <si>
    <t>REQ_SEC_0002</t>
  </si>
  <si>
    <t>Country/Team Access Restriction</t>
  </si>
  <si>
    <t>Log in as a permissible user to a specific country/team and verify access to that country's/team's requisitions and candidates.</t>
  </si>
  <si>
    <t>1. User account is provisioned with access to a specific country and/or recruiting team.
2. Country-based and team-based recruiting security profiles are configured.
3. Requisitions exist for the assigned country/team.
4. Candidate applications exist against the assigned country/team requisitions.
5. User has permission to access Recruiting work areas.</t>
  </si>
  <si>
    <t>1. Log in to Oracle Recruiting Cloud using a permitted user account.
2. Navigate to Recruiting &gt; Job Requisitions.
3. Search for requisitions belonging to the user's assigned country/team.
4. Open one or more requisitions returned in the search results.
5. Review requisition details and associated recruiting information.
6. Navigate to Recruiting &gt; Candidates.
7. Search for candidates associated with the assigned country/team requisitions.
8. Open one or more candidate applications.
9. Review candidate profile, application, and recruiting information.
10. Verify access to requisition and candidate actions permitted for the role.
11. Compare visible records with the configured country/team security assignment.</t>
  </si>
  <si>
    <t>1. User can successfully access Recruiting work areas.
2. Requisitions belonging to the assigned country/team are visible.
3. User can access requisition details for the assigned country/team.
4. Candidate applications associated with the assigned country/team are visible.
5. User can access candidate profiles and application details according to assigned permissions.
6. Only records within the user's configured country/team scope are accessible.
7. Recruiting access follows the configured country and team-based security model.</t>
  </si>
  <si>
    <t>TC04-SEC</t>
  </si>
  <si>
    <t>Unauthorized User (REC/HM) tried to view data (JR/Candidate/ for other countries/Invalid countries</t>
  </si>
  <si>
    <t>1. User account provisioned with Recruiter or Hiring Manager role.
2. Country-based and team-based recruiting security profiles are configured.
3. Requisitions exist for countries/teams outside the user's assigned security scope.
4. Candidate applications exist against those requisitions.
5. User has access to Recruiting work areas but is not authorized for the target country/team.</t>
  </si>
  <si>
    <t>1. Log in to Oracle Recruiting Cloud as an unauthorized Recruiter or Hiring Manager.
2. Navigate to Recruiting &gt; Job Requisitions.
3. Search for requisitions belonging to a country/team outside the user's assigned access scope.
4. Review the search results.
5. Attempt to open an out-of-scope requisition.
6. Navigate to Recruiting &gt; Candidates.
7. Search for candidates associated with out-of-scope requisitions.
8. Review the search results.
9. Attempt to open an out-of-scope candidate application.
10. Attempt to access candidate details through direct navigation or URL (if available).
11. Review any validation, security, or access-denied messages displayed.</t>
  </si>
  <si>
    <t>1. User can successfully access Recruiting work areas within assigned permissions.
2. Requisitions belonging to unauthorized countries/teams are not visible in search results.
3. User cannot access requisition details outside the assigned security scope.
4. Candidate applications belonging to unauthorized countries/teams are not visible in search results.
5. User cannot access candidate profiles outside the assigned security scope.
6. Direct access attempts are blocked by security controls.
7. Appropriate security or access-denied messages are displayed where applicable.
8. Recruiting access restrictions follow the configured country and team-based security model.</t>
  </si>
  <si>
    <t>TC01-RB</t>
  </si>
  <si>
    <t>REQ_RB_0001</t>
  </si>
  <si>
    <t>Recruiting Booster</t>
  </si>
  <si>
    <t>Targeted Campaigns</t>
  </si>
  <si>
    <t>Launch a targeted candidate campaign (via evaluated tool/integration) and verify it reaches only the intended candidate segment.</t>
  </si>
  <si>
    <t>1. User account provisioned with Recruiter role.
2. Candidate campaign functionality or integrated campaign tool is configured and active.
3. Candidate segmentation criteria are configured.
4. Candidate records exist that match and do not match the target segment criteria.
5. Recruiter has permission to create and launch candidate campaigns.
6. Campaign tracking and reporting functionality is enabled.</t>
  </si>
  <si>
    <t>1. Log in to Oracle Recruiting Cloud as Recruiter.
2. Navigate to the Candidate Campaign or Talent Marketing area.
3. Create a new targeted candidate campaign.
4. Define the target audience using the configured segment criteria.
5. Review the candidate population identified by the segment.
6. Launch the campaign.
7. Review the campaign recipient list.
8. Verify the campaign delivery details.
9. Open campaign tracking or campaign reporting.
10. Compare the campaign recipients against the configured segment criteria.
11. Verify that candidates outside the target segment were not included.
12. Review campaign activity and recipient details.</t>
  </si>
  <si>
    <t>1. Candidate campaign is created successfully.
2. Target audience is generated according to the configured segment criteria.
3. Campaign launches successfully.
4. Campaign is delivered only to candidates within the target segment.
5. Candidates outside the defined segment are excluded from the campaign.
6. Campaign tracking reflects the intended recipient population accurately.
7. Candidate targeting follows the configured segmentation and campaign rules.</t>
  </si>
  <si>
    <t>TC024-CSP</t>
  </si>
  <si>
    <t>REQ_CSP_0019</t>
  </si>
  <si>
    <t>Campus &amp; Event Management</t>
  </si>
  <si>
    <t>Set up a campus/hiring event (via evaluated Campus Recruiting feature or third-party tool) and verify candidates can be tracked through it correctly.</t>
  </si>
  <si>
    <t>1. User account provisioned with Recruiter role.
2. Campus Recruiting feature or approved third-party event-management integration is configured and active.
3. Event management permissions are assigned to the Recruiter.
4. Test candidates are available for event registration.
5. Candidate tracking through recruiting stages is enabled.
6. At least one active requisition exists for candidate association.</t>
  </si>
  <si>
    <t>1. Log in to Oracle Recruiting Cloud as Recruiter.
2. Navigate to the Campus Recruiting/Event Management area.
3. Create a new campus or hiring event.
4. Enter the event details and save the event.
5. Associate a requisition with the event if configured.
6. Register or import test candidates into the event.
7. Verify candidate attendance or participation status can be recorded.
8. Progress one or more candidates through the event workflow.
9. Open the candidate profiles.
10. Review event-related information recorded against each candidate.
11. Track candidates through subsequent recruiting stages after the event.
12. Review event reporting or candidate tracking information.</t>
  </si>
  <si>
    <t>1. Campus/hiring event is created successfully.
2. Candidates can be registered or associated with the event.
3. Candidate participation information is captured successfully.
4. Event details are linked to the candidate profiles.
5. Recruiters can track candidates through the event lifecycle.
6. Candidate progression after the event is recorded correctly.
7. Event tracking information is available within candidate records and reporting.</t>
  </si>
  <si>
    <t>TC02-RB</t>
  </si>
  <si>
    <t>REQ_RB_0002</t>
  </si>
  <si>
    <t>SMS Communication</t>
  </si>
  <si>
    <t>Trigger an SMS notification via the integrated third-party SMS provider (e.g., Twilio) and verify the candidate receives it correctly.</t>
  </si>
  <si>
    <t>1. User account provisioned with Recruiter role.
2. SMS integration with the approved third-party provider (e.g., Twilio) is configured and active.
3. SMS notification templates are configured.
4. Candidate record exists with a valid mobile phone number.
5. Recruiter has permission to send SMS notifications.
6. SMS delivery tracking is enabled.</t>
  </si>
  <si>
    <t>1. Log in to Oracle Recruiting Cloud as Recruiter.
2. Navigate to Recruiting &gt; Candidates.
3. Search for and open a candidate profile.
4. Select the action that triggers an SMS notification or manually send an SMS notification if configured.
5. Select the configured SMS template.
6. Verify the candidate mobile number is populated correctly.
7. Send the SMS notification.
8. Review the SMS transaction status in ORC.
9. Verify the SMS request is transmitted to the integrated SMS provider.
10. Confirm receipt of the SMS on the candidate's mobile device.
11. Review SMS activity or communication history on the candidate record.</t>
  </si>
  <si>
    <t>1. SMS notification can be initiated successfully from ORC.
2. Candidate mobile number is recognised and validated correctly.
3. SMS notification is transmitted successfully to the integrated SMS provider.
4. SMS transaction status displays successfully in ORC.
5. Candidate receives the SMS notification with the correct message content.
6. SMS delivery activity is recorded against the candidate profile.
7. SMS integration functions according to the configured provider and notification setup.</t>
  </si>
  <si>
    <t>TC022-JO</t>
  </si>
  <si>
    <t>REQ_JO_0021</t>
  </si>
  <si>
    <t>Salary Data Restriction</t>
  </si>
  <si>
    <t>Log in as a role with compensation-viewing privileges and verify salary/compensation data on the offer is accessible.</t>
  </si>
  <si>
    <t>1. User account provisioned with a role authorized to view offer compensation data.
2. Candidate application exists in Offer phase.
3. Offer record contains salary and compensation information.
4. Compensation visibility security is configured and active.
5. User has access to offer management functions.</t>
  </si>
  <si>
    <t>1. Log in to Oracle Recruiting Cloud using a role with compensation-viewing privileges.
2. Navigate to Recruiting &gt; Candidates.
3. Search for and open a candidate application in Offer phase.
4. Open the candidate offer record.
5. Navigate to the Compensation section.
6. Review salary, bonus, allowance, and other compensation details.
7. Open the offer preview or offer letter.
8. Review the compensation information displayed.
9. Verify the compensation values displayed on the offer record.
10. Verify the compensation values displayed in the offer letter.
11. Review any additional compensation-related fields available to the role.</t>
  </si>
  <si>
    <t>1. User can access the candidate offer record successfully.
2. Compensation section is visible to the authorized user.
3. Salary and compensation information are displayed correctly.
4. Bonus, allowance, and other compensation components are visible according to configuration.
5. Offer letter displays compensation information correctly.
6. Compensation data shown on the offer matches the configured offer values.
7. Compensation visibility follows the configured role-based security rules.</t>
  </si>
  <si>
    <t>TC023-JO</t>
  </si>
  <si>
    <t>Unauthorized user tries to view compensation data</t>
  </si>
  <si>
    <t>User provisioned with Recruiter role; ORC sandbox/test environment configured per Fit-Gap Register solution for 'Salary Data Restriction'.</t>
  </si>
  <si>
    <t>1. Log in to Oracle Recruiting Cloud as Recruiter.
2. Navigate to the Job Offer &gt; Salary Data Restriction area relevant to this requirement.
3. Unauthorized user tries to view compensation data.
4. Observe and record the system's actual behavior against the test objective.
5. Confirm the system correctly blocks, restricts, or flags the invalid/unauthorized action rather than allowing it silently, and that any validation/error message shown is clear and accurate.
6. Capture a screenshot/evidence and record the Actual Result and Pass/Fail outcome.</t>
  </si>
  <si>
    <t>Requirement is fully met using standard ORC configuration — no customization required. Outcome matches: Salary data requires restriction</t>
  </si>
  <si>
    <t>TC01-REP</t>
  </si>
  <si>
    <t>REQ_REP_0001</t>
  </si>
  <si>
    <t>Reporting &amp; Analytics</t>
  </si>
  <si>
    <t>Real-Time Metrics Dashboard</t>
  </si>
  <si>
    <t>Open the OTBI real-time recruiting metrics dashboard and verify the figures reflect current, accurate data as changes occur in the system.</t>
  </si>
  <si>
    <t>User provisioned with Recruiting Administrator / MIS role; ORC sandbox/test environment configured per Fit-Gap Register solution for 'Real-Time Metrics Dashboard'.</t>
  </si>
  <si>
    <t>1. Log in to Oracle Recruiting Cloud as Recruiter.
2. Navigate to the Reporting &amp; Analytics &gt; Real-Time Metrics Dashboard area relevant to this requirement.
3. Open the OTBI real-time recruiting metrics dashboard.
4. Verify that the figures reflect current, accurate data as changes occur in the system.
5. Repeat on at least one additional record/scenario to confirm the behavior is consistent and not a one-off result.
6. Capture a screenshot/evidence and record the Actual Result and Pass/Fail outcome.</t>
  </si>
  <si>
    <t>Requirement is fully met using standard ORC configuration — no customization required. Outcome matches: Recruiters need real-time metrics</t>
  </si>
  <si>
    <t>TC02-AI</t>
  </si>
  <si>
    <t>REQ_AI_0002</t>
  </si>
  <si>
    <t>Voice AI Agents</t>
  </si>
  <si>
    <t>Attempt to use a voice-based AI agent/speech-to-text feature in ORC and verify it is unavailable in the current release (tracked as Gap/roadmap item).</t>
  </si>
  <si>
    <t>User provisioned with Recruiter / Recruiting Administrator role; ORC sandbox/test environment configured per Fit-Gap Register solution for 'Voice AI Agents'.</t>
  </si>
  <si>
    <t>1. Log in to Oracle Recruiting Cloud as Recruiter.
2. Navigate to the AI Agents &gt; Voice AI Agents area relevant to this requirement.
3. Attempt to use a voice-based AI agent/speech-to-text feature in ORC.
4. Verify that it is unavailable in the current release (tracked as Gap/roadmap item).
5. Repeat on at least one additional record/scenario to confirm the behavior is consistent and not a one-off result.
6. Capture a screenshot/evidence and record the Actual Result and Pass/Fail outcome.</t>
  </si>
  <si>
    <t>Standard ORC does not natively support this requirement. If an interim workaround is in place, validate: Track as a roadmap feature; revisit when Oracle delivers voice-enabled agents (expected 26D or later).</t>
  </si>
  <si>
    <t>TC032-JR</t>
  </si>
  <si>
    <t>REQ_JR_0025</t>
  </si>
  <si>
    <t>Recruiter-Owned Process Governance</t>
  </si>
  <si>
    <t>Log in as a Hiring Manager and verify only longlisted/pre-screened candidate profiles are visible, with the Recruiter retaining full ownership of all pipeline steps.</t>
  </si>
  <si>
    <t>User provisioned with Recruiter / Recruiting Administrator role; ORC sandbox/test environment configured per Fit-Gap Register solution for 'Recruiter-Owned Process Governance'.</t>
  </si>
  <si>
    <t>1. Log in to Oracle Recruiting Cloud as Hiring Manager.
2. Navigate to the Job Requisition &gt; Recruiter-Owned Process Governance area relevant to this requirement.
3. Log in as a Hiring Manager.
4. Verify that only longlisted/pre-screened candidate profiles are visible, with the Recruiter retaining full ownership of all pipeline steps.
5. Repeat on at least one additional record/scenario to confirm the behavior is consistent and not a one-off result.
6. Capture a screenshot/evidence and record the Actual Result and Pass/Fail outcome.</t>
  </si>
  <si>
    <t>Requirement is fully met using standard ORC configuration — no customization required. Outcome matches: the recruitment process is not determined by the hiring manager, it is according to the process owned by recruitment.</t>
  </si>
  <si>
    <t>TC05-SEC</t>
  </si>
  <si>
    <t>REQ_SEC_0003</t>
  </si>
  <si>
    <t>Interview/Selection/Offer Visibility</t>
  </si>
  <si>
    <t>Log in as a user in Americas/India and verify candidate profiles are not visible during the interview, selection, and offer phases per the configured restriction.</t>
  </si>
  <si>
    <t>User provisioned with Recruiting Administrator role; ORC sandbox/test environment configured per Fit-Gap Register solution for 'Interview/Selection/Offer Visibility'.</t>
  </si>
  <si>
    <t>1. Log in to Oracle Recruiting Cloud as User in Americas/India.
2. Navigate to the Security &gt; Interview/Selection/Offer Visibility area relevant to this requirement.
3. Log in as a user in Americas/India.
4. Verify that candidate profiles are not visible during the interview, selection, and offer phases per the configured restriction.
5. Repeat on at least one additional record/scenario to confirm the behavior is consistent and not a one-off result.
6. Capture a screenshot/evidence and record the Actual Result and Pass/Fail outcome.</t>
  </si>
  <si>
    <t>Requirement is fully met using standard ORC configuration — no customization required. Outcome matches: Americas and India - profiles to be viewed during interview and selection and offer phase should not be visible for them</t>
  </si>
  <si>
    <t>TC03-AI</t>
  </si>
  <si>
    <t>REQ_AI_0003</t>
  </si>
  <si>
    <t>AI in Candidate Selection Process</t>
  </si>
  <si>
    <t>Review a shortlisted CSP activity earmarked for AI agent automation and verify the AI agent performs the action correctly end-to-end.</t>
  </si>
  <si>
    <t>User provisioned with Recruiter / Recruiting Administrator role; ORC sandbox/test environment configured per Fit-Gap Register solution for 'AI in Candidate Selection Process'.</t>
  </si>
  <si>
    <t>1. Log in to Oracle Recruiting Cloud as Recruiter.
2. Navigate to the AI Agents &gt; AI in Candidate Selection Process area relevant to this requirement.
3. Review a shortlisted CSP activity earmarked for AI agent automation.
4. Verify that the AI agent performs the action correctly end-to-end.
5. Repeat on at least one additional record/scenario to confirm the behavior is consistent and not a one-off result.
6. Capture a screenshot/evidence and record the Actual Result and Pass/Fail outcome.</t>
  </si>
  <si>
    <t>Requirement is fully met using standard ORC configuration — no customization required. Outcome matches: Review candidate selection process activities suitable for custom AI agents</t>
  </si>
  <si>
    <t>TC02-REP</t>
  </si>
  <si>
    <t>REQ_REP_0002</t>
  </si>
  <si>
    <t>Admin/MIS Report Restriction</t>
  </si>
  <si>
    <t>Log in as a Admin/MIS user and verify the restricted report is accessible</t>
  </si>
  <si>
    <t>User provisioned with Recruiting Administrator / MIS role; ORC sandbox/test environment configured per Fit-Gap Register solution for 'Admin/MIS Report Restriction'.</t>
  </si>
  <si>
    <t>1. Log in to Oracle Recruiting Cloud as Admin/MIS user.
2. Navigate to the Reporting &amp; Analytics &gt; Admin/MIS Report Restriction area relevant to this requirement.
3. Log in as an Admin/MIS user.
4. Verify that the restricted report is accessible.
5. Repeat on at least one additional record/scenario to confirm the behavior is consistent and not a one-off result.
6. Capture a screenshot/evidence and record the Actual Result and Pass/Fail outcome.</t>
  </si>
  <si>
    <t>Requirement is fully met using standard ORC configuration — no customization required. Outcome matches: Report - Admin and MIS Team should be restricted to this team alone</t>
  </si>
  <si>
    <t>TC03-REP</t>
  </si>
  <si>
    <t>Unauthorized user tries to view restricted report</t>
  </si>
  <si>
    <t>1. Log in to Oracle Recruiting Cloud as Recruiter.
2. Navigate to the Reporting &amp; Analytics &gt; Admin/MIS Report Restriction area relevant to this requirement.
3. Unauthorized user tries to view restricted report.
4. Observe and record the system's actual behavior against the test objective.
5. Confirm the system correctly blocks, restricts, or flags the invalid/unauthorized action rather than allowing it silently, and that any validation/error message shown is clear and accurate.
6. Capture a screenshot/evidence and record the Actual Result and Pass/Fail outcome.</t>
  </si>
  <si>
    <t>TC06-SEC</t>
  </si>
  <si>
    <t>REQ_SEC_0004</t>
  </si>
  <si>
    <t>Role-Based Recruiter Assignment</t>
  </si>
  <si>
    <t>Assign recruiters/collaborators/managers per the country-specific CDS-confirmed model and verify each role's access matches the confirmed assignment.</t>
  </si>
  <si>
    <t>User provisioned with Recruiting Administrator role; ORC sandbox/test environment configured per Fit-Gap Register solution for 'Role-Based Recruiter Assignment'.</t>
  </si>
  <si>
    <t>1. Log in to Oracle Recruiting Cloud as Recruiter.
2. Navigate to the Security &gt; Role-Based Recruiter Assignment area relevant to this requirement.
3. Assign recruiters/collaborators/managers per the country-specific CDS-confirmed model.
4. Verify that each role's access matches the confirmed assignment.
5. Repeat on at least one additional record/scenario to confirm the behavior is consistent and not a one-off result.
6. Capture a screenshot/evidence and record the Actual Result and Pass/Fail outcome.</t>
  </si>
  <si>
    <t>Requirement is fully met using standard ORC configuration — no customization required. Outcome matches: Based on RRs assigned - country specific, Primary recruiter, Recruiter Assistant / Collaborator, Recruiting Manager and is confirmed...</t>
  </si>
  <si>
    <t>TC07-SEC</t>
  </si>
  <si>
    <t>REQ_SEC_0005</t>
  </si>
  <si>
    <t>US Collaborator/Recruiter Restrictions</t>
  </si>
  <si>
    <t>Log in as a US Collaborator and verify offer creation is blocked; separately, log in as an M&amp;A recruiter and verify Cognizant US requisitions are inaccessible.</t>
  </si>
  <si>
    <t>User provisioned with Recruiting Administrator role; ORC sandbox/test environment configured per Fit-Gap Register solution for 'US Collaborator/Recruiter Restrictions'.</t>
  </si>
  <si>
    <t>1. Log in to Oracle Recruiting Cloud as US Collaborator.
2. Navigate to the Security &gt; US Collaborator/Recruiter Restrictions area relevant to this requirement.
3. Log in as a US Collaborator.
4. Verify that offer creation is blocked; separately, log in as an M&amp;A recruiter and verify Cognizant US requisitions are inaccessible.
5. Repeat on at least one additional record/scenario to confirm the behavior is consistent and not a one-off result.
6. Capture a screenshot/evidence and record the Actual Result and Pass/Fail outcome.</t>
  </si>
  <si>
    <t>Requirement is fully met using standard ORC configuration — no customization required. Outcome matches: US - Restrictions for Collaborators - Cannot create offers Recruiters M&amp;A - cannot access Cognizant US reqs</t>
  </si>
  <si>
    <t>TC08-SEC</t>
  </si>
  <si>
    <t>US Recruiter tries to create offer</t>
  </si>
  <si>
    <t>1.User with US -Recruiter role
2.US candidate in offer phase</t>
  </si>
  <si>
    <t>1.Log in to Oracle Recruiting Cloud as a US Recruiter.
2.Navigate to Recruiting &gt; Job Requisitions.
3.Open a requisition using filter - Recruiter and country - US.
4.Select a candidate who is in the Offer phase.
5.Open the candidate's application details.
6.Review available actions on the candidate application.
7.Attempt to locate the Create Offer action.
8.If the Create Offer option is available, select it.
9.Enter offer details and proceed with offer creation.
10.Click on save or submit the offer.
11.Offer submitted successfully for approval.
12..Log out and log in as an authorized Recruiter.</t>
  </si>
  <si>
    <t xml:space="preserve">1.HCM home page appears.
2.List of requisitions appears.
3.US requisions appears.
4.Candidate appears
5.Candidate's application details appears on screen.
6.Action list appears.
7.Create offer action appears.
8.Create offer option is selected.
9.Offer created without any errro.
10.HCM Sign out page appears.
</t>
  </si>
  <si>
    <t>TC09-SEC</t>
  </si>
  <si>
    <t>REQ_SEC_0006</t>
  </si>
  <si>
    <t>US Collaborator Offer Restriction</t>
  </si>
  <si>
    <t>Log in as a Collaborator in a US operation and attempt to create an offer, then verify the action is blocked by the duty role configuration.</t>
  </si>
  <si>
    <t>1.User with US -Collabrator role
2.US candidate in offer phase</t>
  </si>
  <si>
    <t>1.Log in to Oracle Recruiting Cloud as a US Collaborator.
2.Navigate to Recruiting &gt; Job Requisitions.
3.Open a requisition using filter - US Collabrator.
4.Select a candidate who is in the Offer phase.
5.Open the candidate's application details.
6.Review available actions on the candidate application.
7.Attempt to locate the Create Offer action.
8.If the Create Offer option is available, select it.
9.Enter offer details and proceed with offer creation.
10.Click on save or submit the offer.
11.Review any validation, security, or authorization messages displayed by the system.
12..Log out and log in as an authorized Recruiter.</t>
  </si>
  <si>
    <t xml:space="preserve">1.HCM home page appears.
2.List of requisitions appears.
3.US requisions appears.
4.Candidate appears
5.Candidate's application details appears on screen.
6.Action list appears.
7.Create offer action appears.
8.Create offer option is selected.
9.Offer created.
10.System shows error.
11.HCM Sign out page appears.
</t>
  </si>
  <si>
    <t>TC024-JO</t>
  </si>
  <si>
    <t>REQ_JO_0022</t>
  </si>
  <si>
    <t>Offer Proposal / Dynamic Approvals / Contract Generation</t>
  </si>
  <si>
    <t>Initiate an offer via ORC's offer proposal flow and verify dynamic approval routing, exception approvals.</t>
  </si>
  <si>
    <t>1.User with Recruiter/HM access
2.Candidate in offer phase</t>
  </si>
  <si>
    <t>1.Log in to Oracle Recruiting Cloud as a Recruiter.
2.Navigate to Recruiting &gt; Job Requisitions &gt; Candidate Job Applications.
3.Open a candidate who is in the Offer phase.
4.Select Create Offer Proposal.
5.Enter all mandatory offer details including:Job Title,Grade,Salary,Bonus,Start Date,Location
6.Save the offer proposal.
7.Review the generated offer details and approval summary.
8.Submit the offer proposal for approval.
9.Verify the system determines approvers dynamically based on configured approval rules.
10.Open Approval History and review the approval routing chain.
11.Log in as a approver and approve the offer as the first approver.
12.Verify the offer routes to the next approver according to the configured hierarchy.
13.Repeat until all standard approvals are completed.</t>
  </si>
  <si>
    <t xml:space="preserve">1.HCM Home page appears
2.List of candidate job application appears.
3.Offer details for selected candidate appears.
4.Offer Proposal page opens successfully.
5.Recruiter can enter and save all required offer details.
6.Offer proposal is created successfully without errors.
7.Offer details and approval summary displayed.
8.Dynamic approval routing is automatically generated based on configured business rules.
9.Go to transaction console and check transaction details for this.Approval chain displays the correct approvers in the correct sequence.
10.Transaction is approved
11.Next approver approves the transaction
12.All approver approves the transaction
</t>
  </si>
  <si>
    <t>TC025-JO</t>
  </si>
  <si>
    <t>REQ_JO_0023</t>
  </si>
  <si>
    <t>Offer Document Library / Mandatory Attachments</t>
  </si>
  <si>
    <t>Attach a mandatory offer document by selecting it from the system/admin-managed library and verify manual desktop upload is no longer required/permitted.</t>
  </si>
  <si>
    <t>1.Log in to Oracle Recruiting Cloud as a recruiter.
2.Navigate to Recruiting &gt; Job Requisitions &gt; Candidate Job Application.
3.Select a candidate and open the corresponding offer details.
4.Navigate to the Offer Documents section.
5.Select the option Add/Attach Document.
6.Verify that the system displays the admin-managed document library.
7.Search for the mandatory offer document template.
8.Select the mandatory offer document from the library.
9.Click Attach/Apply/Save.
10.Verify that the document is attached successfully to the offer.
11.Attempt to locate or use the manual desktop upload option.
12.Save and submit the offer for further processing.</t>
  </si>
  <si>
    <t>1.HCM Home page appears
2.List of candidate job application appears.
3.Offer details for selected candidate appears
4.Documents attach page appears
5.Add/attach button displays
6.Document liabray appers for document attachment
7.Document offer template list appears
8.Respective document is selected 9.Document attached successfully
without any error
10.Uploaded document shows in offer documents
11.System gives error when tried to upload mannually
12.Saved successfully</t>
  </si>
  <si>
    <t>TC026-JO</t>
  </si>
  <si>
    <t>REQ_JO_0024</t>
  </si>
  <si>
    <t>Offer Letter Compliance / Job Description &amp; Designation</t>
  </si>
  <si>
    <t>Generate an offer letter for a role in Hungary or Switzerland and verify the job description and designation are correctly included per legal requirements.</t>
  </si>
  <si>
    <t>1. Requisition exists for Hungary or Switzerland.
2. Candidate is in Offer phase.
3. Country-specific offer letter template is configured.
4. Job description and designation are available in the requisition.</t>
  </si>
  <si>
    <t xml:space="preserve">1.Log in to Oracle Recruiting Cloud as Recruiter.
2.Navigate to Recruiting &gt; Job Requisitions.
3.Open a requisition created for Hungary or Switzerland.
4.Verify that Job Title/Designation is populated on the requisition.
5.Verify that the Job Description field contains the approved content.
6.Move a candidate to the Offer phase.
7.Select "Create Offer".
8.Enter mandatory offer details (salary, start date, employment type, etc.).
9.Select the country-specific offer letter template (Hungary/Switzerland).
10.Generate the offer letter preview.
11.Verify that the Job Designation in the offer letter matches the requisition designation.
12.Verify that the Job Description section is included in the offer letter.
</t>
  </si>
  <si>
    <t>1.Recruiter dashboard opens successfully.
2.Requisition list is displayed.
3.Requisition details are displayed.
4.Correct designation is available.
5.Approved job description is displayed.
6.Candidate is eligible for offer generation.
7.Offer creation page opens.
8.Offer details are accepted.
9.Appropriate template is selected.
10.Offer letter preview is generated successfully.
11.Designation is displayed correctly without truncation or formatting issues.
12.Job description appears correctly in the generated document.</t>
  </si>
  <si>
    <t>Meenakshi / Farheen / Lisa</t>
  </si>
  <si>
    <t>TC025-CSP</t>
  </si>
  <si>
    <t>REQ_CSP_0020</t>
  </si>
  <si>
    <t>Rehire Employee ID Capture / Flow</t>
  </si>
  <si>
    <t>For a rehire candidate, capture the Employee ID at application/offer stage and verify it flows correctly through to the relevant fields.</t>
  </si>
  <si>
    <t>1.A terminated former employee record exists in HCM.
2.Employee ID is available for the former employee.
3.Rehire functionality is enabled in ORC.
4.Candidate uses the same identifying information (email, name, national ID, etc.) that allows matching to the former employee record.</t>
  </si>
  <si>
    <t xml:space="preserve">1.Login to ORC as Recruiter.
2.Search for an existing former employee/candidate eligible for rehire.
3.Create a job requisition and proceed with hiring process for the rehire candidate.
4.Submit an application on behalf of the rehire candidate (or candidate applies via career site).
5.Open candidate application details.
6.Verify Employee ID field is populated or available in application details.
7.Move candidate through recruiting phases (Screening → Interview → Offer).
8.Navigate to Offer creation page.
9.Verify Employee ID is displayed in Offer details or mapped field.
</t>
  </si>
  <si>
    <t>1.Recruiter dashboard is displayed.
2.Former employee record is found.
3.Requisition is available for candidate processing.
4.Application is successfully created.
5.Candidate profile is displayed.
6.Correct historical Employee ID is displayed.
7.Candidate progresses successfully.
8.Offer page opens.
9.Employee ID matches former employee record.</t>
  </si>
  <si>
    <t>TEST SCRIPT EXECUTION SUMMARY — Oracle Recruiting Cloud</t>
  </si>
  <si>
    <t>Total Test Scripts:</t>
  </si>
  <si>
    <t>Executed (Pass/Fail filled):</t>
  </si>
  <si>
    <t>Passed:</t>
  </si>
  <si>
    <t>Failed:</t>
  </si>
  <si>
    <t>BY CLASSIFICATION</t>
  </si>
  <si>
    <t>Count</t>
  </si>
  <si>
    <t>Test Applicable = Yes</t>
  </si>
  <si>
    <t>Test Applicable = Conditional</t>
  </si>
  <si>
    <t>Test Applicable = No</t>
  </si>
  <si>
    <t>OUT OF SCOPE</t>
  </si>
  <si>
    <t>BY MODULE (PROCESS)</t>
  </si>
  <si>
    <t>Module</t>
  </si>
  <si>
    <t>Total Scripts</t>
  </si>
  <si>
    <t>Out of Scope</t>
  </si>
  <si>
    <t>Executed</t>
  </si>
  <si>
    <t>Passed</t>
  </si>
  <si>
    <t>Journeys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</si>
</sst>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18"/>
      <color rgb="FFFFFFFF"/>
      <name val="Arial"/>
      <family val="2"/>
    </font>
    <font>
      <i/>
      <sz val="11"/>
      <name val="Arial"/>
      <family val="2"/>
    </font>
    <font>
      <b/>
      <sz val="10"/>
      <name val="Arial"/>
      <family val="2"/>
    </font>
    <font>
      <sz val="10"/>
      <name val="Arial"/>
      <family val="2"/>
    </font>
    <font>
      <b/>
      <sz val="12"/>
      <color rgb="FFFFFFFF"/>
      <name val="Arial"/>
      <family val="2"/>
    </font>
    <font>
      <b/>
      <sz val="14"/>
      <color rgb="FFFFFFFF"/>
      <name val="Arial"/>
      <family val="2"/>
    </font>
    <font>
      <b/>
      <sz val="10"/>
      <color rgb="FFFFFFFF"/>
      <name val="Arial"/>
      <family val="2"/>
    </font>
    <font>
      <sz val="9"/>
      <name val="Arial"/>
      <family val="2"/>
    </font>
    <font>
      <b/>
      <sz val="9"/>
      <name val="Arial"/>
      <family val="2"/>
    </font>
    <font>
      <sz val="8"/>
      <name val="Calibri"/>
      <family val="2"/>
      <charset val="1"/>
    </font>
    <font>
      <b/>
      <i/>
      <sz val="9"/>
      <color rgb="FFFF0000"/>
      <name val="Amasis MT Pro Black"/>
      <family val="1"/>
    </font>
    <font>
      <b/>
      <i/>
      <sz val="9"/>
      <name val="Amasis MT Pro Black"/>
      <family val="1"/>
    </font>
    <font>
      <sz val="9"/>
      <name val="Arial"/>
      <family val="2"/>
      <charset val="1"/>
    </font>
    <font>
      <sz val="9"/>
      <name val="Arial"/>
    </font>
    <font>
      <sz val="9"/>
      <color rgb="FFFF0000"/>
      <name val="Arial"/>
      <family val="2"/>
    </font>
  </fonts>
  <fills count="7">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C6E0B4"/>
        <bgColor rgb="FFD9D9D9"/>
      </patternFill>
    </fill>
    <fill>
      <patternFill patternType="solid">
        <fgColor rgb="FFFFE699"/>
        <bgColor rgb="FFF8CBAD"/>
      </patternFill>
    </fill>
    <fill>
      <patternFill patternType="solid">
        <fgColor rgb="FFF8CBAD"/>
        <bgColor rgb="FFFFE6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3" fillId="0" borderId="0" xfId="0" applyFont="1"/>
    <xf numFmtId="0" fontId="4" fillId="0" borderId="0" xfId="0" applyFont="1"/>
    <xf numFmtId="0" fontId="7" fillId="3" borderId="1" xfId="0" applyFont="1" applyFill="1" applyBorder="1" applyAlignment="1">
      <alignment horizontal="center" vertical="center" wrapText="1"/>
    </xf>
    <xf numFmtId="0" fontId="8" fillId="0" borderId="1" xfId="0" applyFont="1" applyBorder="1" applyAlignment="1">
      <alignment vertical="top" wrapText="1"/>
    </xf>
    <xf numFmtId="0" fontId="8" fillId="4" borderId="1" xfId="0" applyFont="1" applyFill="1" applyBorder="1" applyAlignment="1">
      <alignment vertical="top" wrapText="1"/>
    </xf>
    <xf numFmtId="0" fontId="8" fillId="5" borderId="1" xfId="0" applyFont="1" applyFill="1" applyBorder="1" applyAlignment="1">
      <alignment vertical="top" wrapText="1"/>
    </xf>
    <xf numFmtId="0" fontId="8" fillId="6" borderId="1" xfId="0" applyFont="1" applyFill="1" applyBorder="1" applyAlignment="1">
      <alignment vertical="top" wrapText="1"/>
    </xf>
    <xf numFmtId="0" fontId="9" fillId="0" borderId="1" xfId="0" applyFont="1" applyBorder="1"/>
    <xf numFmtId="0" fontId="4" fillId="0" borderId="1" xfId="0" applyFont="1" applyBorder="1"/>
    <xf numFmtId="0" fontId="13" fillId="0" borderId="1" xfId="0" applyFont="1" applyBorder="1" applyAlignment="1">
      <alignment vertical="top" wrapText="1"/>
    </xf>
    <xf numFmtId="2" fontId="8" fillId="0" borderId="1" xfId="0" applyNumberFormat="1" applyFont="1" applyBorder="1" applyAlignment="1">
      <alignment vertical="top" wrapText="1"/>
    </xf>
    <xf numFmtId="0" fontId="14" fillId="0" borderId="1" xfId="0" applyFont="1" applyBorder="1" applyAlignment="1">
      <alignment vertical="top" wrapText="1"/>
    </xf>
    <xf numFmtId="0" fontId="15" fillId="0" borderId="1" xfId="0" applyFont="1" applyBorder="1" applyAlignment="1">
      <alignment vertical="top" wrapText="1"/>
    </xf>
    <xf numFmtId="0" fontId="6" fillId="2" borderId="0" xfId="0" applyFont="1" applyFill="1" applyAlignment="1">
      <alignment horizontal="center" vertical="center"/>
    </xf>
    <xf numFmtId="0" fontId="11" fillId="0" borderId="0" xfId="0" applyFont="1"/>
    <xf numFmtId="0" fontId="12" fillId="0" borderId="0" xfId="0" applyFont="1"/>
    <xf numFmtId="0" fontId="4" fillId="0" borderId="0" xfId="0" applyFont="1" applyAlignment="1">
      <alignment wrapText="1"/>
    </xf>
    <xf numFmtId="0" fontId="5" fillId="3" borderId="0" xfId="0" applyFont="1" applyFill="1"/>
    <xf numFmtId="0" fontId="1" fillId="2" borderId="0" xfId="0" applyFont="1" applyFill="1" applyAlignment="1">
      <alignment horizontal="center" vertical="center"/>
    </xf>
    <xf numFmtId="0" fontId="2" fillId="0" borderId="0" xfId="0" applyFont="1" applyAlignment="1">
      <alignment horizontal="center"/>
    </xf>
    <xf numFmtId="0" fontId="7" fillId="3"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6"/>
  <sheetViews>
    <sheetView showGridLines="0" topLeftCell="A3" zoomScaleNormal="100" workbookViewId="0">
      <selection activeCell="C9" sqref="C9"/>
    </sheetView>
  </sheetViews>
  <sheetFormatPr defaultColWidth="8.54296875" defaultRowHeight="14.5" x14ac:dyDescent="0.35"/>
  <cols>
    <col min="2" max="2" width="22" customWidth="1"/>
    <col min="3" max="5" width="30" customWidth="1"/>
  </cols>
  <sheetData>
    <row r="2" spans="2:5" x14ac:dyDescent="0.35">
      <c r="B2" s="19" t="s">
        <v>0</v>
      </c>
      <c r="C2" s="19"/>
      <c r="D2" s="19"/>
      <c r="E2" s="19"/>
    </row>
    <row r="3" spans="2:5" x14ac:dyDescent="0.35">
      <c r="B3" s="19"/>
      <c r="C3" s="19"/>
      <c r="D3" s="19"/>
      <c r="E3" s="19"/>
    </row>
    <row r="4" spans="2:5" x14ac:dyDescent="0.35">
      <c r="B4" s="20" t="s">
        <v>1</v>
      </c>
      <c r="C4" s="20"/>
      <c r="D4" s="20"/>
      <c r="E4" s="20"/>
    </row>
    <row r="6" spans="2:5" x14ac:dyDescent="0.35">
      <c r="B6" s="1" t="s">
        <v>2</v>
      </c>
      <c r="C6" s="2" t="s">
        <v>3</v>
      </c>
    </row>
    <row r="7" spans="2:5" x14ac:dyDescent="0.35">
      <c r="B7" s="1" t="s">
        <v>4</v>
      </c>
      <c r="C7" s="2" t="s">
        <v>5</v>
      </c>
    </row>
    <row r="8" spans="2:5" x14ac:dyDescent="0.35">
      <c r="B8" s="1" t="s">
        <v>6</v>
      </c>
      <c r="C8" s="2" t="s">
        <v>7</v>
      </c>
    </row>
    <row r="9" spans="2:5" x14ac:dyDescent="0.35">
      <c r="B9" s="1" t="s">
        <v>8</v>
      </c>
      <c r="C9" s="2" t="s">
        <v>9</v>
      </c>
    </row>
    <row r="10" spans="2:5" x14ac:dyDescent="0.35">
      <c r="B10" s="1" t="s">
        <v>10</v>
      </c>
      <c r="C10" s="2" t="s">
        <v>11</v>
      </c>
    </row>
    <row r="11" spans="2:5" x14ac:dyDescent="0.35">
      <c r="B11" s="1" t="s">
        <v>12</v>
      </c>
      <c r="C11" s="2" t="s">
        <v>13</v>
      </c>
    </row>
    <row r="12" spans="2:5" x14ac:dyDescent="0.35">
      <c r="B12" s="1" t="s">
        <v>14</v>
      </c>
      <c r="C12" s="2" t="s">
        <v>15</v>
      </c>
    </row>
    <row r="13" spans="2:5" x14ac:dyDescent="0.35">
      <c r="B13" s="1" t="s">
        <v>16</v>
      </c>
      <c r="C13" s="2" t="s">
        <v>15</v>
      </c>
    </row>
    <row r="14" spans="2:5" x14ac:dyDescent="0.35">
      <c r="B14" s="1" t="s">
        <v>17</v>
      </c>
      <c r="C14" s="2" t="s">
        <v>18</v>
      </c>
    </row>
    <row r="15" spans="2:5" x14ac:dyDescent="0.35">
      <c r="B15" s="1" t="s">
        <v>19</v>
      </c>
      <c r="C15" s="2" t="s">
        <v>20</v>
      </c>
    </row>
    <row r="17" spans="2:5" ht="15.5" x14ac:dyDescent="0.35">
      <c r="B17" s="18" t="s">
        <v>21</v>
      </c>
      <c r="C17" s="18"/>
      <c r="D17" s="18"/>
      <c r="E17" s="18"/>
    </row>
    <row r="18" spans="2:5" x14ac:dyDescent="0.35">
      <c r="B18" s="1" t="s">
        <v>22</v>
      </c>
      <c r="C18" s="1" t="s">
        <v>23</v>
      </c>
    </row>
    <row r="19" spans="2:5" ht="15" customHeight="1" x14ac:dyDescent="0.35">
      <c r="B19" s="2" t="s">
        <v>24</v>
      </c>
      <c r="C19" s="17" t="s">
        <v>25</v>
      </c>
      <c r="D19" s="17"/>
      <c r="E19" s="17"/>
    </row>
    <row r="20" spans="2:5" ht="23.9" customHeight="1" x14ac:dyDescent="0.35">
      <c r="B20" s="2" t="s">
        <v>26</v>
      </c>
      <c r="C20" s="17" t="s">
        <v>27</v>
      </c>
      <c r="D20" s="17"/>
      <c r="E20" s="17"/>
    </row>
    <row r="21" spans="2:5" ht="15" customHeight="1" x14ac:dyDescent="0.35">
      <c r="B21" s="2" t="s">
        <v>28</v>
      </c>
      <c r="C21" s="17" t="s">
        <v>29</v>
      </c>
      <c r="D21" s="17"/>
      <c r="E21" s="17"/>
    </row>
    <row r="23" spans="2:5" ht="15.5" x14ac:dyDescent="0.35">
      <c r="B23" s="18" t="s">
        <v>30</v>
      </c>
      <c r="C23" s="18"/>
      <c r="D23" s="18"/>
      <c r="E23" s="18"/>
    </row>
    <row r="24" spans="2:5" ht="15" customHeight="1" x14ac:dyDescent="0.35">
      <c r="B24" s="1" t="s">
        <v>31</v>
      </c>
      <c r="C24" s="17" t="s">
        <v>32</v>
      </c>
      <c r="D24" s="17"/>
      <c r="E24" s="17"/>
    </row>
    <row r="25" spans="2:5" ht="15" customHeight="1" x14ac:dyDescent="0.35">
      <c r="B25" s="1" t="s">
        <v>33</v>
      </c>
      <c r="C25" s="17" t="s">
        <v>34</v>
      </c>
      <c r="D25" s="17"/>
      <c r="E25" s="17"/>
    </row>
    <row r="26" spans="2:5" ht="15" customHeight="1" x14ac:dyDescent="0.35">
      <c r="B26" s="1" t="s">
        <v>35</v>
      </c>
      <c r="C26" s="17" t="s">
        <v>36</v>
      </c>
      <c r="D26" s="17"/>
      <c r="E26" s="17"/>
    </row>
  </sheetData>
  <mergeCells count="10">
    <mergeCell ref="B2:E3"/>
    <mergeCell ref="B4:E4"/>
    <mergeCell ref="B17:E17"/>
    <mergeCell ref="C19:E19"/>
    <mergeCell ref="C20:E20"/>
    <mergeCell ref="C21:E21"/>
    <mergeCell ref="B23:E23"/>
    <mergeCell ref="C24:E24"/>
    <mergeCell ref="C25:E25"/>
    <mergeCell ref="C26:E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55"/>
  <sheetViews>
    <sheetView showGridLines="0" tabSelected="1" zoomScaleNormal="100" workbookViewId="0">
      <pane ySplit="3" topLeftCell="A138" activePane="bottomLeft" state="frozen"/>
      <selection pane="bottomLeft" activeCell="I138" sqref="I138"/>
    </sheetView>
  </sheetViews>
  <sheetFormatPr defaultColWidth="8.54296875" defaultRowHeight="14.5" x14ac:dyDescent="0.35"/>
  <cols>
    <col min="1" max="1" width="10" customWidth="1"/>
    <col min="2" max="2" width="14" customWidth="1"/>
    <col min="3" max="3" width="16" customWidth="1"/>
    <col min="4" max="4" width="20" customWidth="1"/>
    <col min="5" max="5" width="9" customWidth="1"/>
    <col min="6" max="6" width="12.7265625" customWidth="1"/>
    <col min="7" max="7" width="11" customWidth="1"/>
    <col min="8" max="8" width="10" customWidth="1"/>
    <col min="9" max="9" width="26" customWidth="1"/>
    <col min="10" max="10" width="29.81640625" customWidth="1"/>
    <col min="11" max="11" width="48.7265625" bestFit="1" customWidth="1"/>
    <col min="12" max="12" width="21.81640625" bestFit="1" customWidth="1"/>
    <col min="13" max="13" width="44" bestFit="1" customWidth="1"/>
    <col min="14" max="14" width="16" customWidth="1"/>
    <col min="15" max="16" width="10" customWidth="1"/>
    <col min="17" max="18" width="12" customWidth="1"/>
    <col min="19" max="19" width="16" customWidth="1"/>
  </cols>
  <sheetData>
    <row r="1" spans="1:19" ht="18" x14ac:dyDescent="0.35">
      <c r="A1" s="14"/>
      <c r="B1" s="14"/>
      <c r="C1" s="14"/>
      <c r="D1" s="14"/>
      <c r="E1" s="14"/>
      <c r="F1" s="14"/>
      <c r="G1" s="14"/>
      <c r="H1" s="14"/>
      <c r="I1" s="14"/>
      <c r="J1" s="14"/>
      <c r="K1" s="14"/>
      <c r="L1" s="14"/>
      <c r="M1" s="14"/>
      <c r="N1" s="14"/>
      <c r="O1" s="14"/>
      <c r="P1" s="14"/>
      <c r="Q1" s="14"/>
      <c r="R1" s="14"/>
      <c r="S1" s="14"/>
    </row>
    <row r="2" spans="1:19" x14ac:dyDescent="0.35">
      <c r="A2" s="15" t="s">
        <v>37</v>
      </c>
      <c r="B2" s="16"/>
      <c r="C2" s="16"/>
      <c r="D2" s="16"/>
      <c r="E2" s="16"/>
      <c r="F2" s="16"/>
      <c r="G2" s="16"/>
      <c r="H2" s="16"/>
      <c r="I2" s="16"/>
      <c r="J2" s="16"/>
      <c r="K2" s="16"/>
      <c r="L2" s="16"/>
      <c r="M2" s="16"/>
      <c r="N2" s="16"/>
      <c r="O2" s="16"/>
      <c r="P2" s="16"/>
      <c r="Q2" s="16"/>
      <c r="R2" s="16"/>
      <c r="S2" s="16"/>
    </row>
    <row r="3" spans="1:19" ht="26" x14ac:dyDescent="0.35">
      <c r="A3" s="3" t="s">
        <v>38</v>
      </c>
      <c r="B3" s="3" t="s">
        <v>39</v>
      </c>
      <c r="C3" s="3" t="s">
        <v>40</v>
      </c>
      <c r="D3" s="3" t="s">
        <v>41</v>
      </c>
      <c r="E3" s="3" t="s">
        <v>42</v>
      </c>
      <c r="F3" s="3" t="s">
        <v>43</v>
      </c>
      <c r="G3" s="3" t="s">
        <v>44</v>
      </c>
      <c r="H3" s="3" t="s">
        <v>45</v>
      </c>
      <c r="I3" s="3" t="s">
        <v>46</v>
      </c>
      <c r="J3" s="3" t="s">
        <v>47</v>
      </c>
      <c r="K3" s="3" t="s">
        <v>48</v>
      </c>
      <c r="L3" s="3" t="s">
        <v>49</v>
      </c>
      <c r="M3" s="3" t="s">
        <v>50</v>
      </c>
      <c r="N3" s="3" t="s">
        <v>51</v>
      </c>
      <c r="O3" s="3" t="s">
        <v>52</v>
      </c>
      <c r="P3" s="3" t="s">
        <v>53</v>
      </c>
      <c r="Q3" s="3" t="s">
        <v>54</v>
      </c>
      <c r="R3" s="3" t="s">
        <v>55</v>
      </c>
      <c r="S3" s="3" t="s">
        <v>56</v>
      </c>
    </row>
    <row r="4" spans="1:19" ht="115" x14ac:dyDescent="0.35">
      <c r="A4" s="4" t="s">
        <v>57</v>
      </c>
      <c r="B4" s="4" t="s">
        <v>58</v>
      </c>
      <c r="C4" s="4" t="s">
        <v>59</v>
      </c>
      <c r="D4" s="4" t="s">
        <v>60</v>
      </c>
      <c r="E4" s="4" t="s">
        <v>61</v>
      </c>
      <c r="F4" s="5" t="s">
        <v>62</v>
      </c>
      <c r="G4" s="5" t="s">
        <v>63</v>
      </c>
      <c r="H4" s="4" t="s">
        <v>24</v>
      </c>
      <c r="I4" s="4" t="s">
        <v>64</v>
      </c>
      <c r="J4" s="11" t="s">
        <v>65</v>
      </c>
      <c r="K4" s="10" t="s">
        <v>66</v>
      </c>
      <c r="L4" s="4" t="s">
        <v>67</v>
      </c>
      <c r="M4" s="4" t="s">
        <v>68</v>
      </c>
      <c r="N4" s="4"/>
      <c r="O4" s="4"/>
      <c r="P4" s="4"/>
      <c r="Q4" s="4"/>
      <c r="R4" s="4"/>
      <c r="S4" s="4" t="s">
        <v>69</v>
      </c>
    </row>
    <row r="5" spans="1:19" ht="149.5" x14ac:dyDescent="0.35">
      <c r="A5" s="4" t="s">
        <v>70</v>
      </c>
      <c r="B5" s="4" t="s">
        <v>71</v>
      </c>
      <c r="C5" s="4" t="s">
        <v>59</v>
      </c>
      <c r="D5" s="4" t="s">
        <v>72</v>
      </c>
      <c r="E5" s="4" t="s">
        <v>73</v>
      </c>
      <c r="F5" s="5" t="s">
        <v>62</v>
      </c>
      <c r="G5" s="5" t="s">
        <v>63</v>
      </c>
      <c r="H5" s="4" t="s">
        <v>24</v>
      </c>
      <c r="I5" s="4" t="s">
        <v>74</v>
      </c>
      <c r="J5" s="4" t="s">
        <v>75</v>
      </c>
      <c r="K5" s="10" t="s">
        <v>76</v>
      </c>
      <c r="L5" s="4" t="s">
        <v>77</v>
      </c>
      <c r="M5" s="12" t="s">
        <v>78</v>
      </c>
      <c r="N5" s="4"/>
      <c r="O5" s="4"/>
      <c r="P5" s="4"/>
      <c r="Q5" s="4"/>
      <c r="R5" s="4"/>
      <c r="S5" s="4" t="s">
        <v>79</v>
      </c>
    </row>
    <row r="6" spans="1:19" ht="138" x14ac:dyDescent="0.35">
      <c r="A6" s="4" t="s">
        <v>80</v>
      </c>
      <c r="B6" s="4" t="s">
        <v>81</v>
      </c>
      <c r="C6" s="4" t="s">
        <v>59</v>
      </c>
      <c r="D6" s="4" t="s">
        <v>82</v>
      </c>
      <c r="E6" s="4" t="s">
        <v>61</v>
      </c>
      <c r="F6" s="5" t="s">
        <v>62</v>
      </c>
      <c r="G6" s="5" t="s">
        <v>63</v>
      </c>
      <c r="H6" s="4" t="s">
        <v>24</v>
      </c>
      <c r="I6" s="4" t="s">
        <v>83</v>
      </c>
      <c r="J6" s="4" t="s">
        <v>84</v>
      </c>
      <c r="K6" s="10" t="s">
        <v>85</v>
      </c>
      <c r="L6" s="4" t="s">
        <v>67</v>
      </c>
      <c r="M6" s="12" t="s">
        <v>86</v>
      </c>
      <c r="N6" s="4"/>
      <c r="O6" s="4"/>
      <c r="P6" s="4"/>
      <c r="Q6" s="4"/>
      <c r="R6" s="4"/>
      <c r="S6" s="4" t="s">
        <v>79</v>
      </c>
    </row>
    <row r="7" spans="1:19" ht="195.5" x14ac:dyDescent="0.35">
      <c r="A7" s="4" t="s">
        <v>87</v>
      </c>
      <c r="B7" s="4" t="s">
        <v>81</v>
      </c>
      <c r="C7" s="4" t="s">
        <v>59</v>
      </c>
      <c r="D7" s="4" t="s">
        <v>82</v>
      </c>
      <c r="E7" s="4" t="s">
        <v>61</v>
      </c>
      <c r="F7" s="5" t="s">
        <v>62</v>
      </c>
      <c r="G7" s="5" t="s">
        <v>88</v>
      </c>
      <c r="H7" s="4" t="s">
        <v>24</v>
      </c>
      <c r="I7" s="4" t="s">
        <v>89</v>
      </c>
      <c r="J7" s="4" t="s">
        <v>90</v>
      </c>
      <c r="K7" s="10" t="s">
        <v>91</v>
      </c>
      <c r="L7" s="4" t="s">
        <v>67</v>
      </c>
      <c r="M7" s="12" t="s">
        <v>92</v>
      </c>
      <c r="N7" s="4"/>
      <c r="O7" s="4"/>
      <c r="P7" s="4"/>
      <c r="Q7" s="4"/>
      <c r="R7" s="4"/>
      <c r="S7" s="4" t="s">
        <v>79</v>
      </c>
    </row>
    <row r="8" spans="1:19" ht="138" x14ac:dyDescent="0.35">
      <c r="A8" s="4" t="s">
        <v>93</v>
      </c>
      <c r="B8" s="4" t="s">
        <v>94</v>
      </c>
      <c r="C8" s="4" t="s">
        <v>59</v>
      </c>
      <c r="D8" s="4" t="s">
        <v>95</v>
      </c>
      <c r="E8" s="4" t="s">
        <v>61</v>
      </c>
      <c r="F8" s="5" t="s">
        <v>62</v>
      </c>
      <c r="G8" s="5" t="s">
        <v>63</v>
      </c>
      <c r="H8" s="4" t="s">
        <v>24</v>
      </c>
      <c r="I8" s="4" t="s">
        <v>96</v>
      </c>
      <c r="J8" s="4" t="s">
        <v>97</v>
      </c>
      <c r="K8" s="10" t="s">
        <v>98</v>
      </c>
      <c r="L8" s="4" t="s">
        <v>67</v>
      </c>
      <c r="M8" s="12" t="s">
        <v>99</v>
      </c>
      <c r="N8" s="4"/>
      <c r="O8" s="4"/>
      <c r="P8" s="4"/>
      <c r="Q8" s="4"/>
      <c r="R8" s="4"/>
      <c r="S8" s="4" t="s">
        <v>79</v>
      </c>
    </row>
    <row r="9" spans="1:19" ht="161" x14ac:dyDescent="0.35">
      <c r="A9" s="4" t="s">
        <v>100</v>
      </c>
      <c r="B9" s="4" t="s">
        <v>101</v>
      </c>
      <c r="C9" s="4" t="s">
        <v>59</v>
      </c>
      <c r="D9" s="4" t="s">
        <v>102</v>
      </c>
      <c r="E9" s="4" t="s">
        <v>103</v>
      </c>
      <c r="F9" s="5" t="s">
        <v>62</v>
      </c>
      <c r="G9" s="5" t="s">
        <v>63</v>
      </c>
      <c r="H9" s="4" t="s">
        <v>24</v>
      </c>
      <c r="I9" s="4" t="s">
        <v>104</v>
      </c>
      <c r="J9" s="4" t="s">
        <v>105</v>
      </c>
      <c r="K9" s="10" t="s">
        <v>106</v>
      </c>
      <c r="L9" s="4" t="s">
        <v>67</v>
      </c>
      <c r="M9" s="12" t="s">
        <v>107</v>
      </c>
      <c r="N9" s="4"/>
      <c r="O9" s="4"/>
      <c r="P9" s="4"/>
      <c r="Q9" s="4"/>
      <c r="R9" s="4"/>
      <c r="S9" s="4" t="s">
        <v>108</v>
      </c>
    </row>
    <row r="10" spans="1:19" ht="172.5" x14ac:dyDescent="0.35">
      <c r="A10" s="4" t="s">
        <v>109</v>
      </c>
      <c r="B10" s="4" t="s">
        <v>101</v>
      </c>
      <c r="C10" s="4" t="s">
        <v>59</v>
      </c>
      <c r="D10" s="4" t="s">
        <v>102</v>
      </c>
      <c r="E10" s="4" t="s">
        <v>103</v>
      </c>
      <c r="F10" s="5" t="s">
        <v>62</v>
      </c>
      <c r="G10" s="5" t="s">
        <v>88</v>
      </c>
      <c r="H10" s="4" t="s">
        <v>24</v>
      </c>
      <c r="I10" s="4" t="s">
        <v>110</v>
      </c>
      <c r="J10" s="4" t="s">
        <v>111</v>
      </c>
      <c r="K10" s="10" t="s">
        <v>112</v>
      </c>
      <c r="L10" s="4"/>
      <c r="M10" s="12" t="s">
        <v>113</v>
      </c>
      <c r="N10" s="4"/>
      <c r="O10" s="4"/>
      <c r="P10" s="4"/>
      <c r="Q10" s="4"/>
      <c r="R10" s="4"/>
      <c r="S10" s="4"/>
    </row>
    <row r="11" spans="1:19" ht="184" x14ac:dyDescent="0.35">
      <c r="A11" s="4" t="s">
        <v>114</v>
      </c>
      <c r="B11" s="4" t="s">
        <v>115</v>
      </c>
      <c r="C11" s="4" t="s">
        <v>59</v>
      </c>
      <c r="D11" s="4" t="s">
        <v>116</v>
      </c>
      <c r="E11" s="4" t="s">
        <v>61</v>
      </c>
      <c r="F11" s="6" t="s">
        <v>117</v>
      </c>
      <c r="G11" s="5" t="s">
        <v>63</v>
      </c>
      <c r="H11" s="4" t="s">
        <v>24</v>
      </c>
      <c r="I11" s="4" t="s">
        <v>118</v>
      </c>
      <c r="J11" s="4" t="s">
        <v>119</v>
      </c>
      <c r="K11" s="10" t="s">
        <v>120</v>
      </c>
      <c r="L11" s="4"/>
      <c r="M11" s="12" t="s">
        <v>121</v>
      </c>
      <c r="N11" s="4"/>
      <c r="O11" s="4"/>
      <c r="P11" s="4"/>
      <c r="Q11" s="4"/>
      <c r="R11" s="4"/>
      <c r="S11" s="4" t="s">
        <v>122</v>
      </c>
    </row>
    <row r="12" spans="1:19" ht="184" x14ac:dyDescent="0.35">
      <c r="A12" s="4" t="s">
        <v>123</v>
      </c>
      <c r="B12" s="4" t="s">
        <v>115</v>
      </c>
      <c r="C12" s="4" t="s">
        <v>59</v>
      </c>
      <c r="D12" s="4" t="s">
        <v>116</v>
      </c>
      <c r="E12" s="4" t="s">
        <v>61</v>
      </c>
      <c r="F12" s="6" t="s">
        <v>117</v>
      </c>
      <c r="G12" s="5" t="s">
        <v>88</v>
      </c>
      <c r="H12" s="4" t="s">
        <v>24</v>
      </c>
      <c r="I12" s="4" t="s">
        <v>124</v>
      </c>
      <c r="J12" s="4" t="s">
        <v>125</v>
      </c>
      <c r="K12" s="10" t="s">
        <v>126</v>
      </c>
      <c r="L12" s="4"/>
      <c r="M12" s="4" t="s">
        <v>127</v>
      </c>
      <c r="N12" s="4"/>
      <c r="O12" s="4"/>
      <c r="P12" s="4"/>
      <c r="Q12" s="4"/>
      <c r="R12" s="4"/>
      <c r="S12" s="4"/>
    </row>
    <row r="13" spans="1:19" ht="230" x14ac:dyDescent="0.35">
      <c r="A13" s="4" t="s">
        <v>128</v>
      </c>
      <c r="B13" s="4" t="s">
        <v>129</v>
      </c>
      <c r="C13" s="4" t="s">
        <v>59</v>
      </c>
      <c r="D13" s="4" t="s">
        <v>130</v>
      </c>
      <c r="E13" s="4" t="s">
        <v>73</v>
      </c>
      <c r="F13" s="5" t="s">
        <v>62</v>
      </c>
      <c r="G13" s="5" t="s">
        <v>63</v>
      </c>
      <c r="H13" s="4" t="s">
        <v>24</v>
      </c>
      <c r="I13" s="4" t="s">
        <v>131</v>
      </c>
      <c r="J13" s="4" t="s">
        <v>132</v>
      </c>
      <c r="K13" s="10" t="s">
        <v>133</v>
      </c>
      <c r="L13" s="4"/>
      <c r="M13" s="4" t="s">
        <v>134</v>
      </c>
      <c r="N13" s="4"/>
      <c r="O13" s="4"/>
      <c r="P13" s="4"/>
      <c r="Q13" s="4"/>
      <c r="R13" s="4"/>
      <c r="S13" s="4" t="s">
        <v>79</v>
      </c>
    </row>
    <row r="14" spans="1:19" ht="207" x14ac:dyDescent="0.35">
      <c r="A14" s="4" t="s">
        <v>135</v>
      </c>
      <c r="B14" s="4" t="s">
        <v>136</v>
      </c>
      <c r="C14" s="4" t="s">
        <v>59</v>
      </c>
      <c r="D14" s="4" t="s">
        <v>137</v>
      </c>
      <c r="E14" s="4" t="s">
        <v>103</v>
      </c>
      <c r="F14" s="5" t="s">
        <v>62</v>
      </c>
      <c r="G14" s="5" t="s">
        <v>63</v>
      </c>
      <c r="H14" s="4" t="s">
        <v>24</v>
      </c>
      <c r="I14" s="4" t="s">
        <v>138</v>
      </c>
      <c r="J14" s="12" t="s">
        <v>139</v>
      </c>
      <c r="K14" s="10" t="s">
        <v>140</v>
      </c>
      <c r="L14" s="4"/>
      <c r="M14" s="4" t="s">
        <v>141</v>
      </c>
      <c r="N14" s="4"/>
      <c r="O14" s="4"/>
      <c r="P14" s="4"/>
      <c r="Q14" s="4"/>
      <c r="R14" s="4"/>
      <c r="S14" s="4" t="s">
        <v>79</v>
      </c>
    </row>
    <row r="15" spans="1:19" ht="172.5" x14ac:dyDescent="0.35">
      <c r="A15" s="4" t="s">
        <v>142</v>
      </c>
      <c r="B15" s="4" t="s">
        <v>136</v>
      </c>
      <c r="C15" s="4" t="s">
        <v>59</v>
      </c>
      <c r="D15" s="4" t="s">
        <v>137</v>
      </c>
      <c r="E15" s="4" t="s">
        <v>103</v>
      </c>
      <c r="F15" s="5" t="s">
        <v>62</v>
      </c>
      <c r="G15" s="5" t="s">
        <v>88</v>
      </c>
      <c r="H15" s="4" t="s">
        <v>24</v>
      </c>
      <c r="I15" s="4" t="s">
        <v>143</v>
      </c>
      <c r="J15" s="12" t="s">
        <v>139</v>
      </c>
      <c r="K15" s="10" t="s">
        <v>144</v>
      </c>
      <c r="L15" s="4"/>
      <c r="M15" s="4" t="s">
        <v>145</v>
      </c>
      <c r="N15" s="4"/>
      <c r="O15" s="4"/>
      <c r="P15" s="4"/>
      <c r="Q15" s="4"/>
      <c r="R15" s="4"/>
      <c r="S15" s="4" t="s">
        <v>79</v>
      </c>
    </row>
    <row r="16" spans="1:19" ht="184" x14ac:dyDescent="0.35">
      <c r="A16" s="4" t="s">
        <v>146</v>
      </c>
      <c r="B16" s="4" t="s">
        <v>147</v>
      </c>
      <c r="C16" s="4" t="s">
        <v>59</v>
      </c>
      <c r="D16" s="4" t="s">
        <v>148</v>
      </c>
      <c r="E16" s="4" t="s">
        <v>73</v>
      </c>
      <c r="F16" s="5" t="s">
        <v>62</v>
      </c>
      <c r="G16" s="5" t="s">
        <v>63</v>
      </c>
      <c r="H16" s="4" t="s">
        <v>24</v>
      </c>
      <c r="I16" s="4" t="s">
        <v>149</v>
      </c>
      <c r="J16" s="12" t="s">
        <v>150</v>
      </c>
      <c r="K16" s="10" t="s">
        <v>151</v>
      </c>
      <c r="L16" s="4"/>
      <c r="M16" s="4" t="s">
        <v>152</v>
      </c>
      <c r="N16" s="4"/>
      <c r="O16" s="4"/>
      <c r="P16" s="4"/>
      <c r="Q16" s="4"/>
      <c r="R16" s="4"/>
      <c r="S16" s="4" t="s">
        <v>79</v>
      </c>
    </row>
    <row r="17" spans="1:19" ht="161" x14ac:dyDescent="0.35">
      <c r="A17" s="4" t="s">
        <v>153</v>
      </c>
      <c r="B17" s="4" t="s">
        <v>154</v>
      </c>
      <c r="C17" s="4" t="s">
        <v>59</v>
      </c>
      <c r="D17" s="4" t="s">
        <v>155</v>
      </c>
      <c r="E17" s="4" t="s">
        <v>61</v>
      </c>
      <c r="F17" s="5" t="s">
        <v>62</v>
      </c>
      <c r="G17" s="5" t="s">
        <v>63</v>
      </c>
      <c r="H17" s="4" t="s">
        <v>24</v>
      </c>
      <c r="I17" s="4" t="s">
        <v>156</v>
      </c>
      <c r="J17" s="12" t="s">
        <v>157</v>
      </c>
      <c r="K17" s="10" t="s">
        <v>158</v>
      </c>
      <c r="L17" s="4"/>
      <c r="M17" s="4" t="s">
        <v>159</v>
      </c>
      <c r="N17" s="4"/>
      <c r="O17" s="4"/>
      <c r="P17" s="4"/>
      <c r="Q17" s="4"/>
      <c r="R17" s="4"/>
      <c r="S17" s="4" t="s">
        <v>79</v>
      </c>
    </row>
    <row r="18" spans="1:19" ht="161" x14ac:dyDescent="0.35">
      <c r="A18" s="4" t="s">
        <v>160</v>
      </c>
      <c r="B18" s="4" t="s">
        <v>154</v>
      </c>
      <c r="C18" s="4" t="s">
        <v>59</v>
      </c>
      <c r="D18" s="4" t="s">
        <v>155</v>
      </c>
      <c r="E18" s="4" t="s">
        <v>61</v>
      </c>
      <c r="F18" s="5" t="s">
        <v>62</v>
      </c>
      <c r="G18" s="5" t="s">
        <v>88</v>
      </c>
      <c r="H18" s="4" t="s">
        <v>24</v>
      </c>
      <c r="I18" s="4" t="s">
        <v>161</v>
      </c>
      <c r="J18" s="12" t="s">
        <v>162</v>
      </c>
      <c r="K18" s="10" t="s">
        <v>163</v>
      </c>
      <c r="L18" s="4"/>
      <c r="M18" s="4" t="s">
        <v>164</v>
      </c>
      <c r="N18" s="4"/>
      <c r="O18" s="4"/>
      <c r="P18" s="4"/>
      <c r="Q18" s="4"/>
      <c r="R18" s="4"/>
      <c r="S18" s="4" t="s">
        <v>79</v>
      </c>
    </row>
    <row r="19" spans="1:19" ht="172.5" x14ac:dyDescent="0.35">
      <c r="A19" s="4" t="s">
        <v>165</v>
      </c>
      <c r="B19" s="4" t="s">
        <v>166</v>
      </c>
      <c r="C19" s="4" t="s">
        <v>59</v>
      </c>
      <c r="D19" s="4" t="s">
        <v>167</v>
      </c>
      <c r="E19" s="4" t="s">
        <v>73</v>
      </c>
      <c r="F19" s="5" t="s">
        <v>62</v>
      </c>
      <c r="G19" s="5" t="s">
        <v>63</v>
      </c>
      <c r="H19" s="4" t="s">
        <v>24</v>
      </c>
      <c r="I19" s="4" t="s">
        <v>168</v>
      </c>
      <c r="J19" s="12" t="s">
        <v>169</v>
      </c>
      <c r="K19" s="10" t="s">
        <v>170</v>
      </c>
      <c r="L19" s="4"/>
      <c r="M19" s="4" t="s">
        <v>171</v>
      </c>
      <c r="N19" s="4"/>
      <c r="O19" s="4"/>
      <c r="P19" s="4"/>
      <c r="Q19" s="4"/>
      <c r="R19" s="4"/>
      <c r="S19" s="4" t="s">
        <v>172</v>
      </c>
    </row>
    <row r="20" spans="1:19" ht="138" x14ac:dyDescent="0.35">
      <c r="A20" s="4" t="s">
        <v>173</v>
      </c>
      <c r="B20" s="4" t="s">
        <v>174</v>
      </c>
      <c r="C20" s="4" t="s">
        <v>59</v>
      </c>
      <c r="D20" s="4" t="s">
        <v>60</v>
      </c>
      <c r="E20" s="4" t="s">
        <v>73</v>
      </c>
      <c r="F20" s="5" t="s">
        <v>62</v>
      </c>
      <c r="G20" s="5" t="s">
        <v>63</v>
      </c>
      <c r="H20" s="4" t="s">
        <v>24</v>
      </c>
      <c r="I20" s="4" t="s">
        <v>175</v>
      </c>
      <c r="J20" s="12" t="s">
        <v>176</v>
      </c>
      <c r="K20" s="10" t="s">
        <v>177</v>
      </c>
      <c r="L20" s="4"/>
      <c r="M20" s="4" t="s">
        <v>178</v>
      </c>
      <c r="N20" s="4"/>
      <c r="O20" s="4"/>
      <c r="P20" s="4"/>
      <c r="Q20" s="4"/>
      <c r="R20" s="4"/>
      <c r="S20" s="4" t="s">
        <v>79</v>
      </c>
    </row>
    <row r="21" spans="1:19" ht="172.5" x14ac:dyDescent="0.35">
      <c r="A21" s="4" t="s">
        <v>179</v>
      </c>
      <c r="B21" s="4" t="s">
        <v>174</v>
      </c>
      <c r="C21" s="4" t="s">
        <v>59</v>
      </c>
      <c r="D21" s="4" t="s">
        <v>60</v>
      </c>
      <c r="E21" s="4" t="s">
        <v>73</v>
      </c>
      <c r="F21" s="5" t="s">
        <v>62</v>
      </c>
      <c r="G21" s="5" t="s">
        <v>88</v>
      </c>
      <c r="H21" s="4" t="s">
        <v>24</v>
      </c>
      <c r="I21" s="4" t="s">
        <v>180</v>
      </c>
      <c r="J21" s="12" t="s">
        <v>181</v>
      </c>
      <c r="K21" s="10" t="s">
        <v>182</v>
      </c>
      <c r="L21" s="4"/>
      <c r="M21" s="4" t="s">
        <v>183</v>
      </c>
      <c r="N21" s="4"/>
      <c r="O21" s="4"/>
      <c r="P21" s="4"/>
      <c r="Q21" s="4"/>
      <c r="R21" s="4"/>
      <c r="S21" s="4" t="s">
        <v>79</v>
      </c>
    </row>
    <row r="22" spans="1:19" ht="149.5" x14ac:dyDescent="0.35">
      <c r="A22" s="4" t="s">
        <v>184</v>
      </c>
      <c r="B22" s="4" t="s">
        <v>185</v>
      </c>
      <c r="C22" s="4" t="s">
        <v>59</v>
      </c>
      <c r="D22" s="4" t="s">
        <v>60</v>
      </c>
      <c r="E22" s="4" t="s">
        <v>73</v>
      </c>
      <c r="F22" s="5" t="s">
        <v>62</v>
      </c>
      <c r="G22" s="5" t="s">
        <v>63</v>
      </c>
      <c r="H22" s="4" t="s">
        <v>24</v>
      </c>
      <c r="I22" s="4" t="s">
        <v>186</v>
      </c>
      <c r="J22" s="12" t="s">
        <v>187</v>
      </c>
      <c r="K22" s="10" t="s">
        <v>188</v>
      </c>
      <c r="L22" s="4"/>
      <c r="M22" s="4" t="s">
        <v>189</v>
      </c>
      <c r="N22" s="4"/>
      <c r="O22" s="4"/>
      <c r="P22" s="4"/>
      <c r="Q22" s="4"/>
      <c r="R22" s="4"/>
      <c r="S22" s="4" t="s">
        <v>79</v>
      </c>
    </row>
    <row r="23" spans="1:19" ht="218.5" x14ac:dyDescent="0.35">
      <c r="A23" s="4" t="s">
        <v>190</v>
      </c>
      <c r="B23" s="4" t="s">
        <v>191</v>
      </c>
      <c r="C23" s="4" t="s">
        <v>192</v>
      </c>
      <c r="D23" s="4" t="s">
        <v>193</v>
      </c>
      <c r="E23" s="4" t="s">
        <v>61</v>
      </c>
      <c r="F23" s="5" t="s">
        <v>62</v>
      </c>
      <c r="G23" s="5" t="s">
        <v>63</v>
      </c>
      <c r="H23" s="4" t="s">
        <v>24</v>
      </c>
      <c r="I23" s="4" t="s">
        <v>194</v>
      </c>
      <c r="J23" s="12" t="s">
        <v>195</v>
      </c>
      <c r="K23" s="10" t="s">
        <v>196</v>
      </c>
      <c r="L23" s="4"/>
      <c r="M23" s="4" t="s">
        <v>197</v>
      </c>
      <c r="N23" s="4"/>
      <c r="O23" s="4"/>
      <c r="P23" s="4"/>
      <c r="Q23" s="4"/>
      <c r="R23" s="4"/>
      <c r="S23" s="4" t="s">
        <v>198</v>
      </c>
    </row>
    <row r="24" spans="1:19" ht="149.5" x14ac:dyDescent="0.35">
      <c r="A24" s="4" t="s">
        <v>199</v>
      </c>
      <c r="B24" s="4" t="s">
        <v>200</v>
      </c>
      <c r="C24" s="4" t="s">
        <v>192</v>
      </c>
      <c r="D24" s="4" t="s">
        <v>201</v>
      </c>
      <c r="E24" s="4" t="s">
        <v>61</v>
      </c>
      <c r="F24" s="5" t="s">
        <v>62</v>
      </c>
      <c r="G24" s="5" t="s">
        <v>63</v>
      </c>
      <c r="H24" s="4" t="s">
        <v>24</v>
      </c>
      <c r="I24" s="4" t="s">
        <v>202</v>
      </c>
      <c r="J24" s="12" t="s">
        <v>203</v>
      </c>
      <c r="K24" s="10" t="s">
        <v>204</v>
      </c>
      <c r="L24" s="4"/>
      <c r="M24" s="4" t="s">
        <v>205</v>
      </c>
      <c r="N24" s="4"/>
      <c r="O24" s="4"/>
      <c r="P24" s="4"/>
      <c r="Q24" s="4"/>
      <c r="R24" s="4"/>
      <c r="S24" s="4" t="s">
        <v>79</v>
      </c>
    </row>
    <row r="25" spans="1:19" ht="195.5" x14ac:dyDescent="0.35">
      <c r="A25" s="4" t="s">
        <v>206</v>
      </c>
      <c r="B25" s="4" t="s">
        <v>200</v>
      </c>
      <c r="C25" s="4" t="s">
        <v>192</v>
      </c>
      <c r="D25" s="4" t="s">
        <v>201</v>
      </c>
      <c r="E25" s="4" t="s">
        <v>61</v>
      </c>
      <c r="F25" s="5" t="s">
        <v>62</v>
      </c>
      <c r="G25" s="5" t="s">
        <v>88</v>
      </c>
      <c r="H25" s="4" t="s">
        <v>24</v>
      </c>
      <c r="I25" s="4" t="s">
        <v>207</v>
      </c>
      <c r="J25" s="4" t="s">
        <v>208</v>
      </c>
      <c r="K25" s="10" t="s">
        <v>209</v>
      </c>
      <c r="L25" s="4"/>
      <c r="M25" s="4" t="s">
        <v>210</v>
      </c>
      <c r="N25" s="4"/>
      <c r="O25" s="4"/>
      <c r="P25" s="4"/>
      <c r="Q25" s="4"/>
      <c r="R25" s="4"/>
      <c r="S25" s="4" t="s">
        <v>79</v>
      </c>
    </row>
    <row r="26" spans="1:19" ht="172.5" x14ac:dyDescent="0.35">
      <c r="A26" s="4" t="s">
        <v>211</v>
      </c>
      <c r="B26" s="4" t="s">
        <v>212</v>
      </c>
      <c r="C26" s="4" t="s">
        <v>192</v>
      </c>
      <c r="D26" s="4" t="s">
        <v>201</v>
      </c>
      <c r="E26" s="4" t="s">
        <v>61</v>
      </c>
      <c r="F26" s="5" t="s">
        <v>62</v>
      </c>
      <c r="G26" s="5" t="s">
        <v>63</v>
      </c>
      <c r="H26" s="4" t="s">
        <v>24</v>
      </c>
      <c r="I26" s="4" t="s">
        <v>213</v>
      </c>
      <c r="J26" s="4" t="s">
        <v>214</v>
      </c>
      <c r="K26" s="10" t="s">
        <v>215</v>
      </c>
      <c r="L26" s="4"/>
      <c r="M26" s="4" t="s">
        <v>216</v>
      </c>
      <c r="N26" s="4"/>
      <c r="O26" s="4"/>
      <c r="P26" s="4"/>
      <c r="Q26" s="4"/>
      <c r="R26" s="4"/>
      <c r="S26" s="4" t="s">
        <v>217</v>
      </c>
    </row>
    <row r="27" spans="1:19" ht="310.5" x14ac:dyDescent="0.35">
      <c r="A27" s="4" t="s">
        <v>218</v>
      </c>
      <c r="B27" s="4" t="s">
        <v>219</v>
      </c>
      <c r="C27" s="4" t="s">
        <v>192</v>
      </c>
      <c r="D27" s="4" t="s">
        <v>220</v>
      </c>
      <c r="E27" s="4" t="s">
        <v>103</v>
      </c>
      <c r="F27" s="5" t="s">
        <v>62</v>
      </c>
      <c r="G27" s="5" t="s">
        <v>63</v>
      </c>
      <c r="H27" s="4" t="s">
        <v>24</v>
      </c>
      <c r="I27" s="4" t="s">
        <v>221</v>
      </c>
      <c r="J27" s="4" t="s">
        <v>222</v>
      </c>
      <c r="K27" s="10" t="s">
        <v>223</v>
      </c>
      <c r="L27" s="4"/>
      <c r="M27" s="4" t="s">
        <v>224</v>
      </c>
      <c r="N27" s="4"/>
      <c r="O27" s="4"/>
      <c r="P27" s="4"/>
      <c r="Q27" s="4"/>
      <c r="R27" s="4"/>
      <c r="S27" s="4" t="s">
        <v>225</v>
      </c>
    </row>
    <row r="28" spans="1:19" ht="161" x14ac:dyDescent="0.35">
      <c r="A28" s="4" t="s">
        <v>226</v>
      </c>
      <c r="B28" s="4" t="s">
        <v>219</v>
      </c>
      <c r="C28" s="4" t="s">
        <v>192</v>
      </c>
      <c r="D28" s="4" t="s">
        <v>220</v>
      </c>
      <c r="E28" s="4" t="s">
        <v>103</v>
      </c>
      <c r="F28" s="5" t="s">
        <v>62</v>
      </c>
      <c r="G28" s="5" t="s">
        <v>88</v>
      </c>
      <c r="H28" s="4" t="s">
        <v>24</v>
      </c>
      <c r="I28" s="4" t="s">
        <v>227</v>
      </c>
      <c r="J28" s="4" t="s">
        <v>228</v>
      </c>
      <c r="K28" s="10" t="s">
        <v>229</v>
      </c>
      <c r="L28" s="4"/>
      <c r="M28" s="4" t="s">
        <v>230</v>
      </c>
      <c r="N28" s="4"/>
      <c r="O28" s="4"/>
      <c r="P28" s="4"/>
      <c r="Q28" s="4"/>
      <c r="R28" s="4"/>
      <c r="S28" s="4" t="s">
        <v>225</v>
      </c>
    </row>
    <row r="29" spans="1:19" ht="207" x14ac:dyDescent="0.35">
      <c r="A29" s="4" t="s">
        <v>231</v>
      </c>
      <c r="B29" s="4" t="s">
        <v>232</v>
      </c>
      <c r="C29" s="4" t="s">
        <v>192</v>
      </c>
      <c r="D29" s="4" t="s">
        <v>233</v>
      </c>
      <c r="E29" s="4" t="s">
        <v>103</v>
      </c>
      <c r="F29" s="5" t="s">
        <v>62</v>
      </c>
      <c r="G29" s="5" t="s">
        <v>63</v>
      </c>
      <c r="H29" s="4" t="s">
        <v>24</v>
      </c>
      <c r="I29" s="4" t="s">
        <v>234</v>
      </c>
      <c r="J29" s="4" t="s">
        <v>235</v>
      </c>
      <c r="K29" s="10" t="s">
        <v>236</v>
      </c>
      <c r="L29" s="4"/>
      <c r="M29" s="4" t="s">
        <v>237</v>
      </c>
      <c r="N29" s="4"/>
      <c r="O29" s="4"/>
      <c r="P29" s="4"/>
      <c r="Q29" s="4"/>
      <c r="R29" s="4"/>
      <c r="S29" s="4" t="s">
        <v>238</v>
      </c>
    </row>
    <row r="30" spans="1:19" ht="207" x14ac:dyDescent="0.35">
      <c r="A30" s="4" t="s">
        <v>239</v>
      </c>
      <c r="B30" s="4" t="s">
        <v>232</v>
      </c>
      <c r="C30" s="4" t="s">
        <v>192</v>
      </c>
      <c r="D30" s="4" t="s">
        <v>233</v>
      </c>
      <c r="E30" s="4" t="s">
        <v>103</v>
      </c>
      <c r="F30" s="5" t="s">
        <v>62</v>
      </c>
      <c r="G30" s="5" t="s">
        <v>88</v>
      </c>
      <c r="H30" s="4" t="s">
        <v>24</v>
      </c>
      <c r="I30" s="4" t="s">
        <v>240</v>
      </c>
      <c r="J30" s="4" t="s">
        <v>241</v>
      </c>
      <c r="K30" s="10" t="s">
        <v>242</v>
      </c>
      <c r="L30" s="4"/>
      <c r="M30" s="4" t="s">
        <v>243</v>
      </c>
      <c r="N30" s="4"/>
      <c r="O30" s="4"/>
      <c r="P30" s="4"/>
      <c r="Q30" s="4"/>
      <c r="R30" s="4"/>
      <c r="S30" s="4" t="s">
        <v>238</v>
      </c>
    </row>
    <row r="31" spans="1:19" ht="195.5" x14ac:dyDescent="0.35">
      <c r="A31" s="4" t="s">
        <v>244</v>
      </c>
      <c r="B31" s="4" t="s">
        <v>245</v>
      </c>
      <c r="C31" s="4" t="s">
        <v>192</v>
      </c>
      <c r="D31" s="4" t="s">
        <v>246</v>
      </c>
      <c r="E31" s="4" t="s">
        <v>103</v>
      </c>
      <c r="F31" s="5" t="s">
        <v>62</v>
      </c>
      <c r="G31" s="5" t="s">
        <v>63</v>
      </c>
      <c r="H31" s="4" t="s">
        <v>24</v>
      </c>
      <c r="I31" s="4" t="s">
        <v>247</v>
      </c>
      <c r="J31" s="4" t="s">
        <v>248</v>
      </c>
      <c r="K31" s="10" t="s">
        <v>249</v>
      </c>
      <c r="L31" s="4"/>
      <c r="M31" s="4" t="s">
        <v>250</v>
      </c>
      <c r="N31" s="4"/>
      <c r="O31" s="4"/>
      <c r="P31" s="4"/>
      <c r="Q31" s="4"/>
      <c r="R31" s="4"/>
      <c r="S31" s="4" t="s">
        <v>122</v>
      </c>
    </row>
    <row r="32" spans="1:19" ht="207" x14ac:dyDescent="0.35">
      <c r="A32" s="4" t="s">
        <v>251</v>
      </c>
      <c r="B32" s="4" t="s">
        <v>252</v>
      </c>
      <c r="C32" s="4" t="s">
        <v>192</v>
      </c>
      <c r="D32" s="4" t="s">
        <v>253</v>
      </c>
      <c r="E32" s="4" t="s">
        <v>103</v>
      </c>
      <c r="F32" s="5" t="s">
        <v>62</v>
      </c>
      <c r="G32" s="5" t="s">
        <v>63</v>
      </c>
      <c r="H32" s="4" t="s">
        <v>24</v>
      </c>
      <c r="I32" s="4" t="s">
        <v>254</v>
      </c>
      <c r="J32" s="4" t="s">
        <v>255</v>
      </c>
      <c r="K32" s="10" t="s">
        <v>256</v>
      </c>
      <c r="L32" s="4"/>
      <c r="M32" s="4" t="s">
        <v>257</v>
      </c>
      <c r="N32" s="4"/>
      <c r="O32" s="4"/>
      <c r="P32" s="4"/>
      <c r="Q32" s="4"/>
      <c r="R32" s="4"/>
      <c r="S32" s="4"/>
    </row>
    <row r="33" spans="1:19" ht="207" x14ac:dyDescent="0.35">
      <c r="A33" s="4" t="s">
        <v>258</v>
      </c>
      <c r="B33" s="4" t="s">
        <v>252</v>
      </c>
      <c r="C33" s="4" t="s">
        <v>192</v>
      </c>
      <c r="D33" s="4" t="s">
        <v>253</v>
      </c>
      <c r="E33" s="4" t="s">
        <v>103</v>
      </c>
      <c r="F33" s="5" t="s">
        <v>62</v>
      </c>
      <c r="G33" s="5" t="s">
        <v>88</v>
      </c>
      <c r="H33" s="4" t="s">
        <v>24</v>
      </c>
      <c r="I33" s="4" t="s">
        <v>259</v>
      </c>
      <c r="J33" s="4" t="s">
        <v>260</v>
      </c>
      <c r="K33" s="10" t="s">
        <v>261</v>
      </c>
      <c r="L33" s="4"/>
      <c r="M33" s="4" t="s">
        <v>262</v>
      </c>
      <c r="N33" s="4"/>
      <c r="O33" s="4"/>
      <c r="P33" s="4"/>
      <c r="Q33" s="4"/>
      <c r="R33" s="4"/>
      <c r="S33" s="4"/>
    </row>
    <row r="34" spans="1:19" ht="264.5" x14ac:dyDescent="0.35">
      <c r="A34" s="4" t="s">
        <v>263</v>
      </c>
      <c r="B34" s="4" t="s">
        <v>264</v>
      </c>
      <c r="C34" s="4" t="s">
        <v>265</v>
      </c>
      <c r="D34" s="4" t="s">
        <v>266</v>
      </c>
      <c r="E34" s="4" t="s">
        <v>61</v>
      </c>
      <c r="F34" s="5" t="s">
        <v>62</v>
      </c>
      <c r="G34" s="5" t="s">
        <v>63</v>
      </c>
      <c r="H34" s="4" t="s">
        <v>24</v>
      </c>
      <c r="I34" s="4" t="s">
        <v>267</v>
      </c>
      <c r="J34" s="4" t="s">
        <v>268</v>
      </c>
      <c r="K34" s="10" t="s">
        <v>269</v>
      </c>
      <c r="L34" s="4"/>
      <c r="M34" s="4" t="s">
        <v>270</v>
      </c>
      <c r="N34" s="4"/>
      <c r="O34" s="4"/>
      <c r="P34" s="4"/>
      <c r="Q34" s="4"/>
      <c r="R34" s="4"/>
      <c r="S34" s="4"/>
    </row>
    <row r="35" spans="1:19" ht="230" x14ac:dyDescent="0.35">
      <c r="A35" s="4" t="s">
        <v>271</v>
      </c>
      <c r="B35" s="4" t="s">
        <v>272</v>
      </c>
      <c r="C35" s="4" t="s">
        <v>265</v>
      </c>
      <c r="D35" s="4" t="s">
        <v>273</v>
      </c>
      <c r="E35" s="4" t="s">
        <v>61</v>
      </c>
      <c r="F35" s="6" t="s">
        <v>117</v>
      </c>
      <c r="G35" s="5" t="s">
        <v>63</v>
      </c>
      <c r="H35" s="4" t="s">
        <v>24</v>
      </c>
      <c r="I35" s="4" t="s">
        <v>274</v>
      </c>
      <c r="J35" s="4" t="s">
        <v>275</v>
      </c>
      <c r="K35" s="10" t="s">
        <v>276</v>
      </c>
      <c r="L35" s="4"/>
      <c r="M35" s="4" t="s">
        <v>277</v>
      </c>
      <c r="N35" s="4"/>
      <c r="O35" s="4"/>
      <c r="P35" s="4"/>
      <c r="Q35" s="4"/>
      <c r="R35" s="4"/>
      <c r="S35" s="4"/>
    </row>
    <row r="36" spans="1:19" ht="253" x14ac:dyDescent="0.35">
      <c r="A36" s="4" t="s">
        <v>278</v>
      </c>
      <c r="B36" s="4" t="s">
        <v>279</v>
      </c>
      <c r="C36" s="4" t="s">
        <v>265</v>
      </c>
      <c r="D36" s="4" t="s">
        <v>280</v>
      </c>
      <c r="E36" s="4" t="s">
        <v>61</v>
      </c>
      <c r="F36" s="5" t="s">
        <v>62</v>
      </c>
      <c r="G36" s="5" t="s">
        <v>63</v>
      </c>
      <c r="H36" s="4" t="s">
        <v>24</v>
      </c>
      <c r="I36" s="4" t="s">
        <v>281</v>
      </c>
      <c r="J36" s="4" t="s">
        <v>282</v>
      </c>
      <c r="K36" s="10" t="s">
        <v>283</v>
      </c>
      <c r="L36" s="4"/>
      <c r="M36" s="4" t="s">
        <v>284</v>
      </c>
      <c r="N36" s="4"/>
      <c r="O36" s="4"/>
      <c r="P36" s="4"/>
      <c r="Q36" s="4"/>
      <c r="R36" s="4"/>
      <c r="S36" s="4"/>
    </row>
    <row r="37" spans="1:19" ht="207" x14ac:dyDescent="0.35">
      <c r="A37" s="4" t="s">
        <v>285</v>
      </c>
      <c r="B37" s="4" t="s">
        <v>286</v>
      </c>
      <c r="C37" s="4" t="s">
        <v>192</v>
      </c>
      <c r="D37" s="4" t="s">
        <v>287</v>
      </c>
      <c r="E37" s="4" t="s">
        <v>61</v>
      </c>
      <c r="F37" s="5" t="s">
        <v>62</v>
      </c>
      <c r="G37" s="5" t="s">
        <v>63</v>
      </c>
      <c r="H37" s="4" t="s">
        <v>24</v>
      </c>
      <c r="I37" s="4" t="s">
        <v>288</v>
      </c>
      <c r="J37" s="4" t="s">
        <v>289</v>
      </c>
      <c r="K37" s="10" t="s">
        <v>290</v>
      </c>
      <c r="L37" s="4"/>
      <c r="M37" s="4" t="s">
        <v>291</v>
      </c>
      <c r="N37" s="4"/>
      <c r="O37" s="4"/>
      <c r="P37" s="4"/>
      <c r="Q37" s="4"/>
      <c r="R37" s="4"/>
      <c r="S37" s="4" t="s">
        <v>292</v>
      </c>
    </row>
    <row r="38" spans="1:19" ht="241.5" x14ac:dyDescent="0.35">
      <c r="A38" s="4" t="s">
        <v>293</v>
      </c>
      <c r="B38" s="4" t="s">
        <v>294</v>
      </c>
      <c r="C38" s="4" t="s">
        <v>192</v>
      </c>
      <c r="D38" s="4" t="s">
        <v>295</v>
      </c>
      <c r="E38" s="4" t="s">
        <v>61</v>
      </c>
      <c r="F38" s="5" t="s">
        <v>62</v>
      </c>
      <c r="G38" s="5" t="s">
        <v>63</v>
      </c>
      <c r="H38" s="4" t="s">
        <v>24</v>
      </c>
      <c r="I38" s="4" t="s">
        <v>296</v>
      </c>
      <c r="J38" s="4" t="s">
        <v>297</v>
      </c>
      <c r="K38" s="10" t="s">
        <v>298</v>
      </c>
      <c r="L38" s="4"/>
      <c r="M38" s="4" t="s">
        <v>299</v>
      </c>
      <c r="N38" s="4"/>
      <c r="O38" s="4"/>
      <c r="P38" s="4"/>
      <c r="Q38" s="4"/>
      <c r="R38" s="4"/>
      <c r="S38" s="4"/>
    </row>
    <row r="39" spans="1:19" ht="184" x14ac:dyDescent="0.35">
      <c r="A39" s="4" t="s">
        <v>300</v>
      </c>
      <c r="B39" s="4" t="s">
        <v>301</v>
      </c>
      <c r="C39" s="4" t="s">
        <v>192</v>
      </c>
      <c r="D39" s="4" t="s">
        <v>302</v>
      </c>
      <c r="E39" s="4" t="s">
        <v>61</v>
      </c>
      <c r="F39" s="5" t="s">
        <v>62</v>
      </c>
      <c r="G39" s="5" t="s">
        <v>63</v>
      </c>
      <c r="H39" s="4" t="s">
        <v>24</v>
      </c>
      <c r="I39" s="4" t="s">
        <v>303</v>
      </c>
      <c r="J39" s="4" t="s">
        <v>304</v>
      </c>
      <c r="K39" s="10" t="s">
        <v>305</v>
      </c>
      <c r="L39" s="4"/>
      <c r="M39" s="4" t="s">
        <v>306</v>
      </c>
      <c r="N39" s="4"/>
      <c r="O39" s="4"/>
      <c r="P39" s="4"/>
      <c r="Q39" s="4"/>
      <c r="R39" s="4"/>
      <c r="S39" s="4" t="s">
        <v>307</v>
      </c>
    </row>
    <row r="40" spans="1:19" ht="207" x14ac:dyDescent="0.35">
      <c r="A40" s="4" t="s">
        <v>308</v>
      </c>
      <c r="B40" s="4" t="s">
        <v>301</v>
      </c>
      <c r="C40" s="4" t="s">
        <v>192</v>
      </c>
      <c r="D40" s="4" t="s">
        <v>302</v>
      </c>
      <c r="E40" s="4" t="s">
        <v>61</v>
      </c>
      <c r="F40" s="5" t="s">
        <v>62</v>
      </c>
      <c r="G40" s="5" t="s">
        <v>88</v>
      </c>
      <c r="H40" s="4" t="s">
        <v>24</v>
      </c>
      <c r="I40" s="4" t="s">
        <v>309</v>
      </c>
      <c r="J40" s="4" t="s">
        <v>310</v>
      </c>
      <c r="K40" s="10" t="s">
        <v>311</v>
      </c>
      <c r="L40" s="4"/>
      <c r="M40" s="4" t="s">
        <v>312</v>
      </c>
      <c r="N40" s="4"/>
      <c r="O40" s="4"/>
      <c r="P40" s="4"/>
      <c r="Q40" s="4"/>
      <c r="R40" s="4"/>
      <c r="S40" s="4" t="s">
        <v>307</v>
      </c>
    </row>
    <row r="41" spans="1:19" ht="218.5" x14ac:dyDescent="0.35">
      <c r="A41" s="4" t="s">
        <v>313</v>
      </c>
      <c r="B41" s="4" t="s">
        <v>314</v>
      </c>
      <c r="C41" s="4" t="s">
        <v>315</v>
      </c>
      <c r="D41" s="4" t="s">
        <v>316</v>
      </c>
      <c r="E41" s="4" t="s">
        <v>61</v>
      </c>
      <c r="F41" s="5" t="s">
        <v>62</v>
      </c>
      <c r="G41" s="5" t="s">
        <v>63</v>
      </c>
      <c r="H41" s="4" t="s">
        <v>24</v>
      </c>
      <c r="I41" s="4" t="s">
        <v>317</v>
      </c>
      <c r="J41" s="4" t="s">
        <v>318</v>
      </c>
      <c r="K41" s="10" t="s">
        <v>319</v>
      </c>
      <c r="L41" s="4"/>
      <c r="M41" s="4" t="s">
        <v>320</v>
      </c>
      <c r="N41" s="4"/>
      <c r="O41" s="4"/>
      <c r="P41" s="4"/>
      <c r="Q41" s="4"/>
      <c r="R41" s="4"/>
      <c r="S41" s="4" t="s">
        <v>225</v>
      </c>
    </row>
    <row r="42" spans="1:19" ht="230" x14ac:dyDescent="0.35">
      <c r="A42" s="4" t="s">
        <v>321</v>
      </c>
      <c r="B42" s="4" t="s">
        <v>322</v>
      </c>
      <c r="C42" s="4" t="s">
        <v>192</v>
      </c>
      <c r="D42" s="4" t="s">
        <v>323</v>
      </c>
      <c r="E42" s="4" t="s">
        <v>61</v>
      </c>
      <c r="F42" s="5" t="s">
        <v>62</v>
      </c>
      <c r="G42" s="5" t="s">
        <v>63</v>
      </c>
      <c r="H42" s="4" t="s">
        <v>24</v>
      </c>
      <c r="I42" s="4" t="s">
        <v>324</v>
      </c>
      <c r="J42" s="4" t="s">
        <v>325</v>
      </c>
      <c r="K42" s="10" t="s">
        <v>326</v>
      </c>
      <c r="L42" s="4"/>
      <c r="M42" s="4" t="s">
        <v>327</v>
      </c>
      <c r="N42" s="4"/>
      <c r="O42" s="4"/>
      <c r="P42" s="4"/>
      <c r="Q42" s="4"/>
      <c r="R42" s="4"/>
      <c r="S42" s="4" t="s">
        <v>79</v>
      </c>
    </row>
    <row r="43" spans="1:19" ht="218.5" x14ac:dyDescent="0.35">
      <c r="A43" s="4" t="s">
        <v>328</v>
      </c>
      <c r="B43" s="4" t="s">
        <v>329</v>
      </c>
      <c r="C43" s="4" t="s">
        <v>192</v>
      </c>
      <c r="D43" s="4" t="s">
        <v>330</v>
      </c>
      <c r="E43" s="4" t="s">
        <v>61</v>
      </c>
      <c r="F43" s="5" t="s">
        <v>62</v>
      </c>
      <c r="G43" s="5" t="s">
        <v>63</v>
      </c>
      <c r="H43" s="4" t="s">
        <v>24</v>
      </c>
      <c r="I43" s="4" t="s">
        <v>331</v>
      </c>
      <c r="J43" s="4" t="s">
        <v>332</v>
      </c>
      <c r="K43" s="10" t="s">
        <v>333</v>
      </c>
      <c r="L43" s="4"/>
      <c r="M43" s="4" t="s">
        <v>334</v>
      </c>
      <c r="N43" s="4"/>
      <c r="O43" s="4"/>
      <c r="P43" s="4"/>
      <c r="Q43" s="4"/>
      <c r="R43" s="4"/>
      <c r="S43" s="4" t="s">
        <v>217</v>
      </c>
    </row>
    <row r="44" spans="1:19" ht="184" x14ac:dyDescent="0.35">
      <c r="A44" s="4" t="s">
        <v>335</v>
      </c>
      <c r="B44" s="4" t="s">
        <v>336</v>
      </c>
      <c r="C44" s="4" t="s">
        <v>192</v>
      </c>
      <c r="D44" s="4" t="s">
        <v>337</v>
      </c>
      <c r="E44" s="4" t="s">
        <v>61</v>
      </c>
      <c r="F44" s="7" t="s">
        <v>338</v>
      </c>
      <c r="G44" s="5" t="s">
        <v>63</v>
      </c>
      <c r="H44" s="4" t="s">
        <v>26</v>
      </c>
      <c r="I44" s="4" t="s">
        <v>339</v>
      </c>
      <c r="J44" s="4" t="s">
        <v>340</v>
      </c>
      <c r="K44" s="10" t="s">
        <v>341</v>
      </c>
      <c r="L44" s="4"/>
      <c r="M44" s="4" t="s">
        <v>342</v>
      </c>
      <c r="N44" s="4"/>
      <c r="O44" s="4"/>
      <c r="P44" s="4"/>
      <c r="Q44" s="4"/>
      <c r="R44" s="4"/>
      <c r="S44" s="4" t="s">
        <v>217</v>
      </c>
    </row>
    <row r="45" spans="1:19" ht="276" x14ac:dyDescent="0.35">
      <c r="A45" s="4" t="s">
        <v>343</v>
      </c>
      <c r="B45" s="4" t="s">
        <v>344</v>
      </c>
      <c r="C45" s="4" t="s">
        <v>192</v>
      </c>
      <c r="D45" s="4" t="s">
        <v>345</v>
      </c>
      <c r="E45" s="4" t="s">
        <v>61</v>
      </c>
      <c r="F45" s="5" t="s">
        <v>62</v>
      </c>
      <c r="G45" s="5" t="s">
        <v>63</v>
      </c>
      <c r="H45" s="4" t="s">
        <v>24</v>
      </c>
      <c r="I45" s="4" t="s">
        <v>346</v>
      </c>
      <c r="J45" s="4" t="s">
        <v>347</v>
      </c>
      <c r="K45" s="10" t="s">
        <v>348</v>
      </c>
      <c r="L45" s="4"/>
      <c r="M45" s="4" t="s">
        <v>349</v>
      </c>
      <c r="N45" s="4"/>
      <c r="O45" s="4"/>
      <c r="P45" s="4"/>
      <c r="Q45" s="4"/>
      <c r="R45" s="4"/>
      <c r="S45" s="4" t="s">
        <v>350</v>
      </c>
    </row>
    <row r="46" spans="1:19" ht="161" x14ac:dyDescent="0.35">
      <c r="A46" s="4" t="s">
        <v>351</v>
      </c>
      <c r="B46" s="4" t="s">
        <v>344</v>
      </c>
      <c r="C46" s="4" t="s">
        <v>192</v>
      </c>
      <c r="D46" s="4" t="s">
        <v>345</v>
      </c>
      <c r="E46" s="4" t="s">
        <v>61</v>
      </c>
      <c r="F46" s="5" t="s">
        <v>62</v>
      </c>
      <c r="G46" s="5" t="s">
        <v>88</v>
      </c>
      <c r="H46" s="4" t="s">
        <v>24</v>
      </c>
      <c r="I46" s="4" t="s">
        <v>352</v>
      </c>
      <c r="J46" s="4" t="s">
        <v>353</v>
      </c>
      <c r="K46" s="10" t="s">
        <v>354</v>
      </c>
      <c r="L46" s="4"/>
      <c r="M46" s="4" t="s">
        <v>355</v>
      </c>
      <c r="N46" s="4"/>
      <c r="O46" s="4"/>
      <c r="P46" s="4"/>
      <c r="Q46" s="4"/>
      <c r="R46" s="4"/>
      <c r="S46" s="4" t="s">
        <v>350</v>
      </c>
    </row>
    <row r="47" spans="1:19" ht="276" x14ac:dyDescent="0.35">
      <c r="A47" s="4" t="s">
        <v>356</v>
      </c>
      <c r="B47" s="4" t="s">
        <v>357</v>
      </c>
      <c r="C47" s="4" t="s">
        <v>265</v>
      </c>
      <c r="D47" s="4" t="s">
        <v>358</v>
      </c>
      <c r="E47" s="4" t="s">
        <v>61</v>
      </c>
      <c r="F47" s="5" t="s">
        <v>62</v>
      </c>
      <c r="G47" s="5" t="s">
        <v>63</v>
      </c>
      <c r="H47" s="4" t="s">
        <v>24</v>
      </c>
      <c r="I47" s="4" t="s">
        <v>359</v>
      </c>
      <c r="J47" s="4" t="s">
        <v>360</v>
      </c>
      <c r="K47" s="10" t="s">
        <v>361</v>
      </c>
      <c r="L47" s="4"/>
      <c r="M47" s="12" t="s">
        <v>362</v>
      </c>
      <c r="N47" s="4"/>
      <c r="O47" s="4"/>
      <c r="P47" s="4"/>
      <c r="Q47" s="4"/>
      <c r="R47" s="4"/>
      <c r="S47" s="4" t="s">
        <v>363</v>
      </c>
    </row>
    <row r="48" spans="1:19" ht="184" x14ac:dyDescent="0.35">
      <c r="A48" s="4" t="s">
        <v>364</v>
      </c>
      <c r="B48" s="4" t="s">
        <v>365</v>
      </c>
      <c r="C48" s="4" t="s">
        <v>265</v>
      </c>
      <c r="D48" s="4" t="s">
        <v>366</v>
      </c>
      <c r="E48" s="4" t="s">
        <v>61</v>
      </c>
      <c r="F48" s="5" t="s">
        <v>62</v>
      </c>
      <c r="G48" s="5" t="s">
        <v>63</v>
      </c>
      <c r="H48" s="4" t="s">
        <v>24</v>
      </c>
      <c r="I48" s="4" t="s">
        <v>367</v>
      </c>
      <c r="J48" s="4" t="s">
        <v>368</v>
      </c>
      <c r="K48" s="10" t="s">
        <v>369</v>
      </c>
      <c r="L48" s="4"/>
      <c r="M48" s="12" t="s">
        <v>370</v>
      </c>
      <c r="N48" s="4"/>
      <c r="O48" s="4"/>
      <c r="P48" s="4"/>
      <c r="Q48" s="4"/>
      <c r="R48" s="4"/>
      <c r="S48" s="4" t="s">
        <v>350</v>
      </c>
    </row>
    <row r="49" spans="1:19" ht="138" x14ac:dyDescent="0.35">
      <c r="A49" s="4" t="s">
        <v>371</v>
      </c>
      <c r="B49" s="4" t="s">
        <v>372</v>
      </c>
      <c r="C49" s="4" t="s">
        <v>373</v>
      </c>
      <c r="D49" s="4" t="s">
        <v>374</v>
      </c>
      <c r="E49" s="4" t="s">
        <v>73</v>
      </c>
      <c r="F49" s="5" t="s">
        <v>62</v>
      </c>
      <c r="G49" s="5" t="s">
        <v>63</v>
      </c>
      <c r="H49" s="4" t="s">
        <v>24</v>
      </c>
      <c r="I49" s="4" t="s">
        <v>375</v>
      </c>
      <c r="J49" s="4" t="s">
        <v>376</v>
      </c>
      <c r="K49" s="10" t="s">
        <v>377</v>
      </c>
      <c r="L49" s="4"/>
      <c r="M49" s="12" t="s">
        <v>378</v>
      </c>
      <c r="N49" s="4"/>
      <c r="O49" s="4"/>
      <c r="P49" s="4"/>
      <c r="Q49" s="4"/>
      <c r="R49" s="4"/>
      <c r="S49" s="4" t="s">
        <v>350</v>
      </c>
    </row>
    <row r="50" spans="1:19" ht="172.5" x14ac:dyDescent="0.35">
      <c r="A50" s="4" t="s">
        <v>379</v>
      </c>
      <c r="B50" s="4" t="s">
        <v>380</v>
      </c>
      <c r="C50" s="4" t="s">
        <v>381</v>
      </c>
      <c r="D50" s="4" t="s">
        <v>382</v>
      </c>
      <c r="E50" s="4" t="s">
        <v>61</v>
      </c>
      <c r="F50" s="5" t="s">
        <v>62</v>
      </c>
      <c r="G50" s="5" t="s">
        <v>63</v>
      </c>
      <c r="H50" s="4" t="s">
        <v>24</v>
      </c>
      <c r="I50" s="4" t="s">
        <v>383</v>
      </c>
      <c r="J50" s="4" t="s">
        <v>384</v>
      </c>
      <c r="K50" s="10" t="s">
        <v>385</v>
      </c>
      <c r="L50" s="4"/>
      <c r="M50" s="12" t="s">
        <v>386</v>
      </c>
      <c r="N50" s="4"/>
      <c r="O50" s="4"/>
      <c r="P50" s="4"/>
      <c r="Q50" s="4"/>
      <c r="R50" s="4"/>
      <c r="S50" s="4" t="s">
        <v>350</v>
      </c>
    </row>
    <row r="51" spans="1:19" ht="138" x14ac:dyDescent="0.35">
      <c r="A51" s="4" t="s">
        <v>387</v>
      </c>
      <c r="B51" s="4" t="s">
        <v>380</v>
      </c>
      <c r="C51" s="4" t="s">
        <v>381</v>
      </c>
      <c r="D51" s="4" t="s">
        <v>382</v>
      </c>
      <c r="E51" s="4" t="s">
        <v>61</v>
      </c>
      <c r="F51" s="5" t="s">
        <v>62</v>
      </c>
      <c r="G51" s="5" t="s">
        <v>88</v>
      </c>
      <c r="H51" s="4" t="s">
        <v>24</v>
      </c>
      <c r="I51" s="4" t="s">
        <v>388</v>
      </c>
      <c r="J51" s="4" t="s">
        <v>389</v>
      </c>
      <c r="K51" s="10" t="s">
        <v>390</v>
      </c>
      <c r="L51" s="4"/>
      <c r="M51" s="12" t="s">
        <v>391</v>
      </c>
      <c r="N51" s="4"/>
      <c r="O51" s="4"/>
      <c r="P51" s="4"/>
      <c r="Q51" s="4"/>
      <c r="R51" s="4"/>
      <c r="S51" s="4" t="s">
        <v>350</v>
      </c>
    </row>
    <row r="52" spans="1:19" ht="207" x14ac:dyDescent="0.35">
      <c r="A52" s="4" t="s">
        <v>392</v>
      </c>
      <c r="B52" s="4" t="s">
        <v>393</v>
      </c>
      <c r="C52" s="4" t="s">
        <v>265</v>
      </c>
      <c r="D52" s="4" t="s">
        <v>394</v>
      </c>
      <c r="E52" s="4" t="s">
        <v>61</v>
      </c>
      <c r="F52" s="5" t="s">
        <v>62</v>
      </c>
      <c r="G52" s="5" t="s">
        <v>63</v>
      </c>
      <c r="H52" s="4" t="s">
        <v>24</v>
      </c>
      <c r="I52" s="4" t="s">
        <v>395</v>
      </c>
      <c r="J52" s="4" t="s">
        <v>396</v>
      </c>
      <c r="K52" s="10" t="s">
        <v>397</v>
      </c>
      <c r="L52" s="4"/>
      <c r="M52" s="12" t="s">
        <v>398</v>
      </c>
      <c r="N52" s="4"/>
      <c r="O52" s="4"/>
      <c r="P52" s="4"/>
      <c r="Q52" s="4"/>
      <c r="R52" s="4"/>
      <c r="S52" s="4" t="s">
        <v>399</v>
      </c>
    </row>
    <row r="53" spans="1:19" ht="161" x14ac:dyDescent="0.35">
      <c r="A53" s="4" t="s">
        <v>400</v>
      </c>
      <c r="B53" s="4" t="s">
        <v>401</v>
      </c>
      <c r="C53" s="4" t="s">
        <v>373</v>
      </c>
      <c r="D53" s="4" t="s">
        <v>402</v>
      </c>
      <c r="E53" s="4" t="s">
        <v>61</v>
      </c>
      <c r="F53" s="5" t="s">
        <v>62</v>
      </c>
      <c r="G53" s="5" t="s">
        <v>63</v>
      </c>
      <c r="H53" s="4" t="s">
        <v>24</v>
      </c>
      <c r="I53" s="4" t="s">
        <v>403</v>
      </c>
      <c r="J53" s="4" t="s">
        <v>404</v>
      </c>
      <c r="K53" s="10" t="s">
        <v>405</v>
      </c>
      <c r="L53" s="4"/>
      <c r="M53" s="12" t="s">
        <v>406</v>
      </c>
      <c r="N53" s="4"/>
      <c r="O53" s="4"/>
      <c r="P53" s="4"/>
      <c r="Q53" s="4"/>
      <c r="R53" s="4"/>
      <c r="S53" s="4" t="s">
        <v>399</v>
      </c>
    </row>
    <row r="54" spans="1:19" ht="184" x14ac:dyDescent="0.35">
      <c r="A54" s="4" t="s">
        <v>407</v>
      </c>
      <c r="B54" s="4" t="s">
        <v>408</v>
      </c>
      <c r="C54" s="4" t="s">
        <v>315</v>
      </c>
      <c r="D54" s="4" t="s">
        <v>409</v>
      </c>
      <c r="E54" s="4" t="s">
        <v>103</v>
      </c>
      <c r="F54" s="5" t="s">
        <v>62</v>
      </c>
      <c r="G54" s="5" t="s">
        <v>63</v>
      </c>
      <c r="H54" s="4" t="s">
        <v>24</v>
      </c>
      <c r="I54" s="4" t="s">
        <v>410</v>
      </c>
      <c r="J54" s="4" t="s">
        <v>411</v>
      </c>
      <c r="K54" s="10" t="s">
        <v>412</v>
      </c>
      <c r="L54" s="4"/>
      <c r="M54" s="12" t="s">
        <v>413</v>
      </c>
      <c r="N54" s="4"/>
      <c r="O54" s="4"/>
      <c r="P54" s="4"/>
      <c r="Q54" s="4"/>
      <c r="R54" s="4"/>
      <c r="S54" s="4" t="s">
        <v>414</v>
      </c>
    </row>
    <row r="55" spans="1:19" ht="161" x14ac:dyDescent="0.35">
      <c r="A55" s="4" t="s">
        <v>415</v>
      </c>
      <c r="B55" s="4" t="s">
        <v>416</v>
      </c>
      <c r="C55" s="4" t="s">
        <v>315</v>
      </c>
      <c r="D55" s="4" t="s">
        <v>417</v>
      </c>
      <c r="E55" s="4" t="s">
        <v>418</v>
      </c>
      <c r="F55" s="5" t="s">
        <v>62</v>
      </c>
      <c r="G55" s="5" t="s">
        <v>63</v>
      </c>
      <c r="H55" s="4" t="s">
        <v>24</v>
      </c>
      <c r="I55" s="4" t="s">
        <v>419</v>
      </c>
      <c r="J55" s="4" t="s">
        <v>420</v>
      </c>
      <c r="K55" s="10" t="s">
        <v>421</v>
      </c>
      <c r="L55" s="4"/>
      <c r="M55" s="12" t="s">
        <v>422</v>
      </c>
      <c r="N55" s="4"/>
      <c r="O55" s="4"/>
      <c r="P55" s="4"/>
      <c r="Q55" s="4"/>
      <c r="R55" s="4"/>
      <c r="S55" s="4" t="s">
        <v>423</v>
      </c>
    </row>
    <row r="56" spans="1:19" ht="184" x14ac:dyDescent="0.35">
      <c r="A56" s="4" t="s">
        <v>424</v>
      </c>
      <c r="B56" s="4" t="s">
        <v>425</v>
      </c>
      <c r="C56" s="4" t="s">
        <v>315</v>
      </c>
      <c r="D56" s="4" t="s">
        <v>426</v>
      </c>
      <c r="E56" s="4" t="s">
        <v>61</v>
      </c>
      <c r="F56" s="5" t="s">
        <v>62</v>
      </c>
      <c r="G56" s="5" t="s">
        <v>63</v>
      </c>
      <c r="H56" s="4" t="s">
        <v>24</v>
      </c>
      <c r="I56" s="4" t="s">
        <v>427</v>
      </c>
      <c r="J56" s="4" t="s">
        <v>428</v>
      </c>
      <c r="K56" s="10" t="s">
        <v>429</v>
      </c>
      <c r="L56" s="4"/>
      <c r="M56" s="12" t="s">
        <v>430</v>
      </c>
      <c r="N56" s="4"/>
      <c r="O56" s="4"/>
      <c r="P56" s="4"/>
      <c r="Q56" s="4"/>
      <c r="R56" s="4"/>
      <c r="S56" s="4" t="s">
        <v>399</v>
      </c>
    </row>
    <row r="57" spans="1:19" ht="161" x14ac:dyDescent="0.35">
      <c r="A57" s="4" t="s">
        <v>431</v>
      </c>
      <c r="B57" s="4" t="s">
        <v>432</v>
      </c>
      <c r="C57" s="4" t="s">
        <v>315</v>
      </c>
      <c r="D57" s="4" t="s">
        <v>433</v>
      </c>
      <c r="E57" s="4" t="s">
        <v>61</v>
      </c>
      <c r="F57" s="5" t="s">
        <v>62</v>
      </c>
      <c r="G57" s="5" t="s">
        <v>63</v>
      </c>
      <c r="H57" s="4" t="s">
        <v>24</v>
      </c>
      <c r="I57" s="4" t="s">
        <v>434</v>
      </c>
      <c r="J57" s="4" t="s">
        <v>435</v>
      </c>
      <c r="K57" s="10" t="s">
        <v>436</v>
      </c>
      <c r="L57" s="4"/>
      <c r="M57" s="12" t="s">
        <v>437</v>
      </c>
      <c r="N57" s="4"/>
      <c r="O57" s="4"/>
      <c r="P57" s="4"/>
      <c r="Q57" s="4"/>
      <c r="R57" s="4"/>
      <c r="S57" s="4" t="s">
        <v>399</v>
      </c>
    </row>
    <row r="58" spans="1:19" ht="172.5" x14ac:dyDescent="0.35">
      <c r="A58" s="4" t="s">
        <v>438</v>
      </c>
      <c r="B58" s="4" t="s">
        <v>439</v>
      </c>
      <c r="C58" s="4" t="s">
        <v>315</v>
      </c>
      <c r="D58" s="4" t="s">
        <v>316</v>
      </c>
      <c r="E58" s="4" t="s">
        <v>61</v>
      </c>
      <c r="F58" s="5" t="s">
        <v>62</v>
      </c>
      <c r="G58" s="5" t="s">
        <v>63</v>
      </c>
      <c r="H58" s="4" t="s">
        <v>24</v>
      </c>
      <c r="I58" s="4" t="s">
        <v>440</v>
      </c>
      <c r="J58" s="4" t="s">
        <v>441</v>
      </c>
      <c r="K58" s="10" t="s">
        <v>442</v>
      </c>
      <c r="L58" s="4"/>
      <c r="M58" s="4" t="s">
        <v>443</v>
      </c>
      <c r="N58" s="4"/>
      <c r="O58" s="4"/>
      <c r="P58" s="4"/>
      <c r="Q58" s="4"/>
      <c r="R58" s="4"/>
      <c r="S58" s="4" t="s">
        <v>399</v>
      </c>
    </row>
    <row r="59" spans="1:19" ht="149.5" x14ac:dyDescent="0.35">
      <c r="A59" s="4" t="s">
        <v>444</v>
      </c>
      <c r="B59" s="4" t="s">
        <v>445</v>
      </c>
      <c r="C59" s="4" t="s">
        <v>192</v>
      </c>
      <c r="D59" s="4" t="s">
        <v>446</v>
      </c>
      <c r="E59" s="4" t="s">
        <v>73</v>
      </c>
      <c r="F59" s="5" t="s">
        <v>62</v>
      </c>
      <c r="G59" s="5" t="s">
        <v>63</v>
      </c>
      <c r="H59" s="4" t="s">
        <v>24</v>
      </c>
      <c r="I59" s="4" t="s">
        <v>447</v>
      </c>
      <c r="J59" s="4" t="s">
        <v>448</v>
      </c>
      <c r="K59" s="10" t="s">
        <v>449</v>
      </c>
      <c r="L59" s="4"/>
      <c r="M59" s="4" t="s">
        <v>450</v>
      </c>
      <c r="N59" s="4"/>
      <c r="O59" s="4"/>
      <c r="P59" s="4"/>
      <c r="Q59" s="4"/>
      <c r="R59" s="4"/>
      <c r="S59" s="4" t="s">
        <v>399</v>
      </c>
    </row>
    <row r="60" spans="1:19" ht="195.5" x14ac:dyDescent="0.35">
      <c r="A60" s="4" t="s">
        <v>451</v>
      </c>
      <c r="B60" s="4" t="s">
        <v>452</v>
      </c>
      <c r="C60" s="4" t="s">
        <v>265</v>
      </c>
      <c r="D60" s="4" t="s">
        <v>453</v>
      </c>
      <c r="E60" s="4" t="s">
        <v>73</v>
      </c>
      <c r="F60" s="5" t="s">
        <v>62</v>
      </c>
      <c r="G60" s="5" t="s">
        <v>63</v>
      </c>
      <c r="H60" s="4" t="s">
        <v>24</v>
      </c>
      <c r="I60" s="4" t="s">
        <v>454</v>
      </c>
      <c r="J60" s="4" t="s">
        <v>455</v>
      </c>
      <c r="K60" s="10" t="s">
        <v>456</v>
      </c>
      <c r="L60" s="4"/>
      <c r="M60" s="4" t="s">
        <v>457</v>
      </c>
      <c r="N60" s="4"/>
      <c r="O60" s="4"/>
      <c r="P60" s="4"/>
      <c r="Q60" s="4"/>
      <c r="R60" s="4"/>
      <c r="S60" s="4" t="s">
        <v>399</v>
      </c>
    </row>
    <row r="61" spans="1:19" ht="172.5" x14ac:dyDescent="0.35">
      <c r="A61" s="4" t="s">
        <v>458</v>
      </c>
      <c r="B61" s="4" t="s">
        <v>459</v>
      </c>
      <c r="C61" s="4" t="s">
        <v>315</v>
      </c>
      <c r="D61" s="4" t="s">
        <v>460</v>
      </c>
      <c r="E61" s="4" t="s">
        <v>61</v>
      </c>
      <c r="F61" s="5" t="s">
        <v>62</v>
      </c>
      <c r="G61" s="5" t="s">
        <v>63</v>
      </c>
      <c r="H61" s="4" t="s">
        <v>24</v>
      </c>
      <c r="I61" s="4" t="s">
        <v>461</v>
      </c>
      <c r="J61" s="4" t="s">
        <v>462</v>
      </c>
      <c r="K61" s="10" t="s">
        <v>463</v>
      </c>
      <c r="L61" s="4"/>
      <c r="M61" s="4" t="s">
        <v>464</v>
      </c>
      <c r="N61" s="4"/>
      <c r="O61" s="4"/>
      <c r="P61" s="4"/>
      <c r="Q61" s="4"/>
      <c r="R61" s="4"/>
      <c r="S61" s="4" t="s">
        <v>465</v>
      </c>
    </row>
    <row r="62" spans="1:19" ht="184" x14ac:dyDescent="0.35">
      <c r="A62" s="4" t="s">
        <v>466</v>
      </c>
      <c r="B62" s="4" t="s">
        <v>467</v>
      </c>
      <c r="C62" s="4" t="s">
        <v>315</v>
      </c>
      <c r="D62" s="4" t="s">
        <v>468</v>
      </c>
      <c r="E62" s="4" t="s">
        <v>418</v>
      </c>
      <c r="F62" s="5" t="s">
        <v>62</v>
      </c>
      <c r="G62" s="5" t="s">
        <v>63</v>
      </c>
      <c r="H62" s="4" t="s">
        <v>24</v>
      </c>
      <c r="I62" s="4" t="s">
        <v>469</v>
      </c>
      <c r="J62" s="4" t="s">
        <v>470</v>
      </c>
      <c r="K62" s="10" t="s">
        <v>471</v>
      </c>
      <c r="L62" s="4"/>
      <c r="M62" s="4" t="s">
        <v>472</v>
      </c>
      <c r="N62" s="4"/>
      <c r="O62" s="4"/>
      <c r="P62" s="4"/>
      <c r="Q62" s="4"/>
      <c r="R62" s="4"/>
      <c r="S62" s="4" t="s">
        <v>350</v>
      </c>
    </row>
    <row r="63" spans="1:19" ht="184" x14ac:dyDescent="0.35">
      <c r="A63" s="4" t="s">
        <v>473</v>
      </c>
      <c r="B63" s="4" t="s">
        <v>474</v>
      </c>
      <c r="C63" s="4" t="s">
        <v>315</v>
      </c>
      <c r="D63" s="4" t="s">
        <v>475</v>
      </c>
      <c r="E63" s="4" t="s">
        <v>103</v>
      </c>
      <c r="F63" s="5" t="s">
        <v>62</v>
      </c>
      <c r="G63" s="5" t="s">
        <v>63</v>
      </c>
      <c r="H63" s="4" t="s">
        <v>24</v>
      </c>
      <c r="I63" s="4" t="s">
        <v>476</v>
      </c>
      <c r="J63" s="4" t="s">
        <v>477</v>
      </c>
      <c r="K63" s="10" t="s">
        <v>478</v>
      </c>
      <c r="L63" s="4"/>
      <c r="M63" s="4" t="s">
        <v>479</v>
      </c>
      <c r="N63" s="4"/>
      <c r="O63" s="4"/>
      <c r="P63" s="4"/>
      <c r="Q63" s="4"/>
      <c r="R63" s="4"/>
      <c r="S63" s="4" t="s">
        <v>350</v>
      </c>
    </row>
    <row r="64" spans="1:19" ht="161" x14ac:dyDescent="0.35">
      <c r="A64" s="4" t="s">
        <v>480</v>
      </c>
      <c r="B64" s="4" t="s">
        <v>481</v>
      </c>
      <c r="C64" s="4" t="s">
        <v>315</v>
      </c>
      <c r="D64" s="4" t="s">
        <v>482</v>
      </c>
      <c r="E64" s="4" t="s">
        <v>61</v>
      </c>
      <c r="F64" s="6" t="s">
        <v>117</v>
      </c>
      <c r="G64" s="5" t="s">
        <v>63</v>
      </c>
      <c r="H64" s="4" t="s">
        <v>24</v>
      </c>
      <c r="I64" s="4" t="s">
        <v>483</v>
      </c>
      <c r="J64" s="4" t="s">
        <v>484</v>
      </c>
      <c r="K64" s="10" t="s">
        <v>485</v>
      </c>
      <c r="L64" s="4"/>
      <c r="M64" s="4" t="s">
        <v>486</v>
      </c>
      <c r="N64" s="4"/>
      <c r="O64" s="4"/>
      <c r="P64" s="4"/>
      <c r="Q64" s="4"/>
      <c r="R64" s="4"/>
      <c r="S64" s="4" t="s">
        <v>487</v>
      </c>
    </row>
    <row r="65" spans="1:19" ht="161" x14ac:dyDescent="0.35">
      <c r="A65" s="4" t="s">
        <v>488</v>
      </c>
      <c r="B65" s="4" t="s">
        <v>489</v>
      </c>
      <c r="C65" s="4" t="s">
        <v>315</v>
      </c>
      <c r="D65" s="4" t="s">
        <v>490</v>
      </c>
      <c r="E65" s="4" t="s">
        <v>103</v>
      </c>
      <c r="F65" s="5" t="s">
        <v>62</v>
      </c>
      <c r="G65" s="5" t="s">
        <v>63</v>
      </c>
      <c r="H65" s="4" t="s">
        <v>24</v>
      </c>
      <c r="I65" s="4" t="s">
        <v>491</v>
      </c>
      <c r="J65" s="4" t="s">
        <v>492</v>
      </c>
      <c r="K65" s="10" t="s">
        <v>493</v>
      </c>
      <c r="L65" s="4"/>
      <c r="M65" s="4" t="s">
        <v>494</v>
      </c>
      <c r="N65" s="4"/>
      <c r="O65" s="4"/>
      <c r="P65" s="4"/>
      <c r="Q65" s="4"/>
      <c r="R65" s="4"/>
      <c r="S65" s="4" t="s">
        <v>399</v>
      </c>
    </row>
    <row r="66" spans="1:19" ht="184" x14ac:dyDescent="0.35">
      <c r="A66" s="4" t="s">
        <v>495</v>
      </c>
      <c r="B66" s="4" t="s">
        <v>496</v>
      </c>
      <c r="C66" s="4" t="s">
        <v>315</v>
      </c>
      <c r="D66" s="4" t="s">
        <v>497</v>
      </c>
      <c r="E66" s="4" t="s">
        <v>103</v>
      </c>
      <c r="F66" s="5" t="s">
        <v>62</v>
      </c>
      <c r="G66" s="5" t="s">
        <v>63</v>
      </c>
      <c r="H66" s="4" t="s">
        <v>24</v>
      </c>
      <c r="I66" s="4" t="s">
        <v>498</v>
      </c>
      <c r="J66" s="4" t="s">
        <v>499</v>
      </c>
      <c r="K66" s="10" t="s">
        <v>500</v>
      </c>
      <c r="L66" s="4"/>
      <c r="M66" s="4" t="s">
        <v>501</v>
      </c>
      <c r="N66" s="4"/>
      <c r="O66" s="4"/>
      <c r="P66" s="4"/>
      <c r="Q66" s="4"/>
      <c r="R66" s="4"/>
      <c r="S66" s="4" t="s">
        <v>502</v>
      </c>
    </row>
    <row r="67" spans="1:19" ht="149.5" x14ac:dyDescent="0.35">
      <c r="A67" s="4" t="s">
        <v>503</v>
      </c>
      <c r="B67" s="4" t="s">
        <v>496</v>
      </c>
      <c r="C67" s="4" t="s">
        <v>315</v>
      </c>
      <c r="D67" s="4" t="s">
        <v>497</v>
      </c>
      <c r="E67" s="4" t="s">
        <v>103</v>
      </c>
      <c r="F67" s="5" t="s">
        <v>62</v>
      </c>
      <c r="G67" s="5" t="s">
        <v>88</v>
      </c>
      <c r="H67" s="4" t="s">
        <v>24</v>
      </c>
      <c r="I67" s="4" t="s">
        <v>504</v>
      </c>
      <c r="J67" s="4" t="s">
        <v>505</v>
      </c>
      <c r="K67" s="10" t="s">
        <v>506</v>
      </c>
      <c r="L67" s="4"/>
      <c r="M67" s="4" t="s">
        <v>507</v>
      </c>
      <c r="N67" s="4"/>
      <c r="O67" s="4"/>
      <c r="P67" s="4"/>
      <c r="Q67" s="4"/>
      <c r="R67" s="4"/>
      <c r="S67" s="4" t="s">
        <v>502</v>
      </c>
    </row>
    <row r="68" spans="1:19" ht="115" x14ac:dyDescent="0.35">
      <c r="A68" s="4" t="s">
        <v>508</v>
      </c>
      <c r="B68" s="4" t="s">
        <v>509</v>
      </c>
      <c r="C68" s="4" t="s">
        <v>381</v>
      </c>
      <c r="D68" s="4" t="s">
        <v>510</v>
      </c>
      <c r="E68" s="4" t="s">
        <v>61</v>
      </c>
      <c r="F68" s="7" t="s">
        <v>338</v>
      </c>
      <c r="G68" s="5" t="s">
        <v>63</v>
      </c>
      <c r="H68" s="4" t="s">
        <v>26</v>
      </c>
      <c r="I68" s="13" t="s">
        <v>511</v>
      </c>
      <c r="J68" s="4" t="s">
        <v>512</v>
      </c>
      <c r="K68" s="10" t="s">
        <v>513</v>
      </c>
      <c r="L68" s="4"/>
      <c r="M68" s="4" t="s">
        <v>514</v>
      </c>
      <c r="N68" s="4"/>
      <c r="O68" s="4"/>
      <c r="P68" s="4"/>
      <c r="Q68" s="4"/>
      <c r="R68" s="4"/>
      <c r="S68" s="4" t="s">
        <v>515</v>
      </c>
    </row>
    <row r="69" spans="1:19" ht="218.5" x14ac:dyDescent="0.35">
      <c r="A69" s="4" t="s">
        <v>516</v>
      </c>
      <c r="B69" s="4" t="s">
        <v>517</v>
      </c>
      <c r="C69" s="4" t="s">
        <v>192</v>
      </c>
      <c r="D69" s="4" t="s">
        <v>518</v>
      </c>
      <c r="E69" s="4" t="s">
        <v>61</v>
      </c>
      <c r="F69" s="5" t="s">
        <v>62</v>
      </c>
      <c r="G69" s="5" t="s">
        <v>63</v>
      </c>
      <c r="H69" s="4" t="s">
        <v>24</v>
      </c>
      <c r="I69" s="4" t="s">
        <v>519</v>
      </c>
      <c r="J69" s="4" t="s">
        <v>520</v>
      </c>
      <c r="K69" s="10" t="s">
        <v>521</v>
      </c>
      <c r="L69" s="4"/>
      <c r="M69" s="4" t="s">
        <v>522</v>
      </c>
      <c r="N69" s="4"/>
      <c r="O69" s="4"/>
      <c r="P69" s="4"/>
      <c r="Q69" s="4"/>
      <c r="R69" s="4"/>
      <c r="S69" s="4" t="s">
        <v>350</v>
      </c>
    </row>
    <row r="70" spans="1:19" ht="172.5" x14ac:dyDescent="0.35">
      <c r="A70" s="4" t="s">
        <v>523</v>
      </c>
      <c r="B70" s="4" t="s">
        <v>524</v>
      </c>
      <c r="C70" s="4" t="s">
        <v>315</v>
      </c>
      <c r="D70" s="4" t="s">
        <v>525</v>
      </c>
      <c r="E70" s="4" t="s">
        <v>61</v>
      </c>
      <c r="F70" s="5" t="s">
        <v>62</v>
      </c>
      <c r="G70" s="5" t="s">
        <v>63</v>
      </c>
      <c r="H70" s="4" t="s">
        <v>24</v>
      </c>
      <c r="I70" s="4" t="s">
        <v>526</v>
      </c>
      <c r="J70" s="4" t="s">
        <v>527</v>
      </c>
      <c r="K70" s="10" t="s">
        <v>528</v>
      </c>
      <c r="L70" s="4"/>
      <c r="M70" s="4" t="s">
        <v>529</v>
      </c>
      <c r="N70" s="4"/>
      <c r="O70" s="4"/>
      <c r="P70" s="4"/>
      <c r="Q70" s="4"/>
      <c r="R70" s="4"/>
      <c r="S70" s="4" t="s">
        <v>530</v>
      </c>
    </row>
    <row r="71" spans="1:19" ht="195.5" x14ac:dyDescent="0.35">
      <c r="A71" s="4" t="s">
        <v>531</v>
      </c>
      <c r="B71" s="4" t="s">
        <v>532</v>
      </c>
      <c r="C71" s="4" t="s">
        <v>315</v>
      </c>
      <c r="D71" s="4" t="s">
        <v>468</v>
      </c>
      <c r="E71" s="4" t="s">
        <v>418</v>
      </c>
      <c r="F71" s="5" t="s">
        <v>62</v>
      </c>
      <c r="G71" s="5" t="s">
        <v>63</v>
      </c>
      <c r="H71" s="4" t="s">
        <v>24</v>
      </c>
      <c r="I71" s="4" t="s">
        <v>533</v>
      </c>
      <c r="J71" s="4" t="s">
        <v>534</v>
      </c>
      <c r="K71" s="10" t="s">
        <v>535</v>
      </c>
      <c r="L71" s="4"/>
      <c r="M71" s="4" t="s">
        <v>536</v>
      </c>
      <c r="N71" s="4"/>
      <c r="O71" s="4"/>
      <c r="P71" s="4"/>
      <c r="Q71" s="4"/>
      <c r="R71" s="4"/>
      <c r="S71" s="4" t="s">
        <v>537</v>
      </c>
    </row>
    <row r="72" spans="1:19" ht="184" x14ac:dyDescent="0.35">
      <c r="A72" s="4" t="s">
        <v>538</v>
      </c>
      <c r="B72" s="4" t="s">
        <v>539</v>
      </c>
      <c r="C72" s="4" t="s">
        <v>315</v>
      </c>
      <c r="D72" s="4" t="s">
        <v>540</v>
      </c>
      <c r="E72" s="4" t="s">
        <v>61</v>
      </c>
      <c r="F72" s="5" t="s">
        <v>62</v>
      </c>
      <c r="G72" s="5" t="s">
        <v>63</v>
      </c>
      <c r="H72" s="4" t="s">
        <v>24</v>
      </c>
      <c r="I72" s="4" t="s">
        <v>541</v>
      </c>
      <c r="J72" s="4" t="s">
        <v>542</v>
      </c>
      <c r="K72" s="10" t="s">
        <v>543</v>
      </c>
      <c r="L72" s="4"/>
      <c r="M72" s="4" t="s">
        <v>544</v>
      </c>
      <c r="N72" s="4"/>
      <c r="O72" s="4"/>
      <c r="P72" s="4"/>
      <c r="Q72" s="4"/>
      <c r="R72" s="4"/>
      <c r="S72" s="4" t="s">
        <v>350</v>
      </c>
    </row>
    <row r="73" spans="1:19" ht="138" x14ac:dyDescent="0.35">
      <c r="A73" s="4" t="s">
        <v>545</v>
      </c>
      <c r="B73" s="4" t="s">
        <v>546</v>
      </c>
      <c r="C73" s="4" t="s">
        <v>192</v>
      </c>
      <c r="D73" s="4" t="s">
        <v>547</v>
      </c>
      <c r="E73" s="4" t="s">
        <v>61</v>
      </c>
      <c r="F73" s="5" t="s">
        <v>62</v>
      </c>
      <c r="G73" s="5" t="s">
        <v>63</v>
      </c>
      <c r="H73" s="4" t="s">
        <v>24</v>
      </c>
      <c r="I73" s="4" t="s">
        <v>548</v>
      </c>
      <c r="J73" s="4" t="s">
        <v>549</v>
      </c>
      <c r="K73" s="10" t="s">
        <v>550</v>
      </c>
      <c r="L73" s="4"/>
      <c r="M73" s="4" t="s">
        <v>551</v>
      </c>
      <c r="N73" s="4"/>
      <c r="O73" s="4"/>
      <c r="P73" s="4"/>
      <c r="Q73" s="4"/>
      <c r="R73" s="4"/>
      <c r="S73" s="4" t="s">
        <v>552</v>
      </c>
    </row>
    <row r="74" spans="1:19" ht="161" x14ac:dyDescent="0.35">
      <c r="A74" s="4" t="s">
        <v>553</v>
      </c>
      <c r="B74" s="4" t="s">
        <v>546</v>
      </c>
      <c r="C74" s="4" t="s">
        <v>192</v>
      </c>
      <c r="D74" s="4" t="s">
        <v>547</v>
      </c>
      <c r="E74" s="4" t="s">
        <v>61</v>
      </c>
      <c r="F74" s="5" t="s">
        <v>62</v>
      </c>
      <c r="G74" s="5" t="s">
        <v>88</v>
      </c>
      <c r="H74" s="4" t="s">
        <v>24</v>
      </c>
      <c r="I74" s="4" t="s">
        <v>554</v>
      </c>
      <c r="J74" s="4" t="s">
        <v>555</v>
      </c>
      <c r="K74" s="10" t="s">
        <v>556</v>
      </c>
      <c r="L74" s="4"/>
      <c r="M74" s="4" t="s">
        <v>557</v>
      </c>
      <c r="N74" s="4"/>
      <c r="O74" s="4"/>
      <c r="P74" s="4"/>
      <c r="Q74" s="4"/>
      <c r="R74" s="4"/>
      <c r="S74" s="4" t="s">
        <v>552</v>
      </c>
    </row>
    <row r="75" spans="1:19" ht="161" x14ac:dyDescent="0.35">
      <c r="A75" s="4" t="s">
        <v>558</v>
      </c>
      <c r="B75" s="4" t="s">
        <v>559</v>
      </c>
      <c r="C75" s="4" t="s">
        <v>192</v>
      </c>
      <c r="D75" s="4" t="s">
        <v>560</v>
      </c>
      <c r="E75" s="4" t="s">
        <v>61</v>
      </c>
      <c r="F75" s="5" t="s">
        <v>62</v>
      </c>
      <c r="G75" s="5" t="s">
        <v>63</v>
      </c>
      <c r="H75" s="4" t="s">
        <v>24</v>
      </c>
      <c r="I75" s="4" t="s">
        <v>561</v>
      </c>
      <c r="J75" s="4" t="s">
        <v>562</v>
      </c>
      <c r="K75" s="10" t="s">
        <v>563</v>
      </c>
      <c r="L75" s="4"/>
      <c r="M75" s="4" t="s">
        <v>564</v>
      </c>
      <c r="N75" s="4"/>
      <c r="O75" s="4"/>
      <c r="P75" s="4"/>
      <c r="Q75" s="4"/>
      <c r="R75" s="4"/>
      <c r="S75" s="4" t="s">
        <v>565</v>
      </c>
    </row>
    <row r="76" spans="1:19" ht="161" x14ac:dyDescent="0.35">
      <c r="A76" s="4" t="s">
        <v>566</v>
      </c>
      <c r="B76" s="4" t="s">
        <v>567</v>
      </c>
      <c r="C76" s="4" t="s">
        <v>373</v>
      </c>
      <c r="D76" s="4" t="s">
        <v>568</v>
      </c>
      <c r="E76" s="4" t="s">
        <v>103</v>
      </c>
      <c r="F76" s="5" t="s">
        <v>62</v>
      </c>
      <c r="G76" s="5" t="s">
        <v>63</v>
      </c>
      <c r="H76" s="4" t="s">
        <v>24</v>
      </c>
      <c r="I76" s="4" t="s">
        <v>569</v>
      </c>
      <c r="J76" s="4" t="s">
        <v>570</v>
      </c>
      <c r="K76" s="10" t="s">
        <v>571</v>
      </c>
      <c r="L76" s="4"/>
      <c r="M76" s="4" t="s">
        <v>572</v>
      </c>
      <c r="N76" s="4"/>
      <c r="O76" s="4"/>
      <c r="P76" s="4"/>
      <c r="Q76" s="4"/>
      <c r="R76" s="4"/>
      <c r="S76" s="4" t="s">
        <v>573</v>
      </c>
    </row>
    <row r="77" spans="1:19" ht="149.5" x14ac:dyDescent="0.35">
      <c r="A77" s="4" t="s">
        <v>574</v>
      </c>
      <c r="B77" s="4" t="s">
        <v>575</v>
      </c>
      <c r="C77" s="4" t="s">
        <v>373</v>
      </c>
      <c r="D77" s="4" t="s">
        <v>576</v>
      </c>
      <c r="E77" s="4" t="s">
        <v>61</v>
      </c>
      <c r="F77" s="5" t="s">
        <v>62</v>
      </c>
      <c r="G77" s="5" t="s">
        <v>63</v>
      </c>
      <c r="H77" s="4" t="s">
        <v>24</v>
      </c>
      <c r="I77" s="4" t="s">
        <v>577</v>
      </c>
      <c r="J77" s="4" t="s">
        <v>578</v>
      </c>
      <c r="K77" s="10" t="s">
        <v>579</v>
      </c>
      <c r="L77" s="4"/>
      <c r="M77" s="4" t="s">
        <v>580</v>
      </c>
      <c r="N77" s="4"/>
      <c r="O77" s="4"/>
      <c r="P77" s="4"/>
      <c r="Q77" s="4"/>
      <c r="R77" s="4"/>
      <c r="S77" s="4" t="s">
        <v>581</v>
      </c>
    </row>
    <row r="78" spans="1:19" ht="149.5" x14ac:dyDescent="0.35">
      <c r="A78" s="4" t="s">
        <v>582</v>
      </c>
      <c r="B78" s="4" t="s">
        <v>583</v>
      </c>
      <c r="C78" s="4" t="s">
        <v>315</v>
      </c>
      <c r="D78" s="4" t="s">
        <v>584</v>
      </c>
      <c r="E78" s="4" t="s">
        <v>73</v>
      </c>
      <c r="F78" s="5" t="s">
        <v>62</v>
      </c>
      <c r="G78" s="5" t="s">
        <v>63</v>
      </c>
      <c r="H78" s="4" t="s">
        <v>24</v>
      </c>
      <c r="I78" s="4" t="s">
        <v>585</v>
      </c>
      <c r="J78" s="4" t="s">
        <v>586</v>
      </c>
      <c r="K78" s="10" t="s">
        <v>587</v>
      </c>
      <c r="L78" s="4"/>
      <c r="M78" s="4" t="s">
        <v>588</v>
      </c>
      <c r="N78" s="4"/>
      <c r="O78" s="4"/>
      <c r="P78" s="4"/>
      <c r="Q78" s="4"/>
      <c r="R78" s="4"/>
      <c r="S78" s="4" t="s">
        <v>589</v>
      </c>
    </row>
    <row r="79" spans="1:19" ht="161" x14ac:dyDescent="0.35">
      <c r="A79" s="4" t="s">
        <v>590</v>
      </c>
      <c r="B79" s="4" t="s">
        <v>591</v>
      </c>
      <c r="C79" s="4" t="s">
        <v>592</v>
      </c>
      <c r="D79" s="4" t="s">
        <v>593</v>
      </c>
      <c r="E79" s="4" t="s">
        <v>61</v>
      </c>
      <c r="F79" s="5" t="s">
        <v>62</v>
      </c>
      <c r="G79" s="5" t="s">
        <v>63</v>
      </c>
      <c r="H79" s="4" t="s">
        <v>24</v>
      </c>
      <c r="I79" s="4" t="s">
        <v>594</v>
      </c>
      <c r="J79" s="4" t="s">
        <v>595</v>
      </c>
      <c r="K79" s="10" t="s">
        <v>596</v>
      </c>
      <c r="L79" s="4"/>
      <c r="M79" s="4" t="s">
        <v>597</v>
      </c>
      <c r="N79" s="4"/>
      <c r="O79" s="4"/>
      <c r="P79" s="4"/>
      <c r="Q79" s="4"/>
      <c r="R79" s="4"/>
      <c r="S79" s="4" t="s">
        <v>589</v>
      </c>
    </row>
    <row r="80" spans="1:19" ht="161" x14ac:dyDescent="0.35">
      <c r="A80" s="4" t="s">
        <v>598</v>
      </c>
      <c r="B80" s="4" t="s">
        <v>591</v>
      </c>
      <c r="C80" s="4" t="s">
        <v>592</v>
      </c>
      <c r="D80" s="4" t="s">
        <v>593</v>
      </c>
      <c r="E80" s="4" t="s">
        <v>61</v>
      </c>
      <c r="F80" s="5" t="s">
        <v>62</v>
      </c>
      <c r="G80" s="5" t="s">
        <v>88</v>
      </c>
      <c r="H80" s="4" t="s">
        <v>24</v>
      </c>
      <c r="I80" s="4" t="s">
        <v>599</v>
      </c>
      <c r="J80" s="4" t="s">
        <v>600</v>
      </c>
      <c r="K80" s="10" t="s">
        <v>601</v>
      </c>
      <c r="L80" s="4"/>
      <c r="M80" s="4" t="s">
        <v>602</v>
      </c>
      <c r="N80" s="4"/>
      <c r="O80" s="4"/>
      <c r="P80" s="4"/>
      <c r="Q80" s="4"/>
      <c r="R80" s="4"/>
      <c r="S80" s="4" t="s">
        <v>589</v>
      </c>
    </row>
    <row r="81" spans="1:19" ht="287.5" x14ac:dyDescent="0.35">
      <c r="A81" s="4" t="s">
        <v>603</v>
      </c>
      <c r="B81" s="4" t="s">
        <v>604</v>
      </c>
      <c r="C81" s="4" t="s">
        <v>373</v>
      </c>
      <c r="D81" s="4" t="s">
        <v>605</v>
      </c>
      <c r="E81" s="4" t="s">
        <v>61</v>
      </c>
      <c r="F81" s="5" t="s">
        <v>62</v>
      </c>
      <c r="G81" s="5" t="s">
        <v>63</v>
      </c>
      <c r="H81" s="4" t="s">
        <v>24</v>
      </c>
      <c r="I81" s="4" t="s">
        <v>606</v>
      </c>
      <c r="J81" s="4" t="s">
        <v>607</v>
      </c>
      <c r="K81" s="10" t="s">
        <v>608</v>
      </c>
      <c r="L81" s="4"/>
      <c r="M81" s="4" t="s">
        <v>609</v>
      </c>
      <c r="N81" s="4"/>
      <c r="O81" s="4"/>
      <c r="P81" s="4"/>
      <c r="Q81" s="4"/>
      <c r="R81" s="4"/>
      <c r="S81" s="4" t="s">
        <v>589</v>
      </c>
    </row>
    <row r="82" spans="1:19" ht="207" x14ac:dyDescent="0.35">
      <c r="A82" s="4" t="s">
        <v>610</v>
      </c>
      <c r="B82" s="4" t="s">
        <v>611</v>
      </c>
      <c r="C82" s="4" t="s">
        <v>373</v>
      </c>
      <c r="D82" s="4" t="s">
        <v>612</v>
      </c>
      <c r="E82" s="4" t="s">
        <v>103</v>
      </c>
      <c r="F82" s="5" t="s">
        <v>62</v>
      </c>
      <c r="G82" s="5" t="s">
        <v>63</v>
      </c>
      <c r="H82" s="4" t="s">
        <v>24</v>
      </c>
      <c r="I82" s="4" t="s">
        <v>613</v>
      </c>
      <c r="J82" s="4" t="s">
        <v>614</v>
      </c>
      <c r="K82" s="10" t="s">
        <v>615</v>
      </c>
      <c r="L82" s="4"/>
      <c r="M82" s="4" t="s">
        <v>616</v>
      </c>
      <c r="N82" s="4"/>
      <c r="O82" s="4"/>
      <c r="P82" s="4"/>
      <c r="Q82" s="4"/>
      <c r="R82" s="4"/>
      <c r="S82" s="4" t="s">
        <v>589</v>
      </c>
    </row>
    <row r="83" spans="1:19" ht="161" x14ac:dyDescent="0.35">
      <c r="A83" s="4" t="s">
        <v>617</v>
      </c>
      <c r="B83" s="4" t="s">
        <v>618</v>
      </c>
      <c r="C83" s="4" t="s">
        <v>373</v>
      </c>
      <c r="D83" s="4" t="s">
        <v>619</v>
      </c>
      <c r="E83" s="4" t="s">
        <v>61</v>
      </c>
      <c r="F83" s="5" t="s">
        <v>62</v>
      </c>
      <c r="G83" s="5" t="s">
        <v>63</v>
      </c>
      <c r="H83" s="4" t="s">
        <v>24</v>
      </c>
      <c r="I83" s="4" t="s">
        <v>620</v>
      </c>
      <c r="J83" s="4" t="s">
        <v>621</v>
      </c>
      <c r="K83" s="10" t="s">
        <v>622</v>
      </c>
      <c r="L83" s="4"/>
      <c r="M83" s="4" t="s">
        <v>623</v>
      </c>
      <c r="N83" s="4"/>
      <c r="O83" s="4"/>
      <c r="P83" s="4"/>
      <c r="Q83" s="4"/>
      <c r="R83" s="4"/>
      <c r="S83" s="4" t="s">
        <v>589</v>
      </c>
    </row>
    <row r="84" spans="1:19" ht="184" x14ac:dyDescent="0.35">
      <c r="A84" s="4" t="s">
        <v>624</v>
      </c>
      <c r="B84" s="4" t="s">
        <v>625</v>
      </c>
      <c r="C84" s="4" t="s">
        <v>373</v>
      </c>
      <c r="D84" s="4" t="s">
        <v>626</v>
      </c>
      <c r="E84" s="4" t="s">
        <v>103</v>
      </c>
      <c r="F84" s="5" t="s">
        <v>62</v>
      </c>
      <c r="G84" s="5" t="s">
        <v>63</v>
      </c>
      <c r="H84" s="4" t="s">
        <v>24</v>
      </c>
      <c r="I84" s="4" t="s">
        <v>627</v>
      </c>
      <c r="J84" s="4" t="s">
        <v>628</v>
      </c>
      <c r="K84" s="10" t="s">
        <v>629</v>
      </c>
      <c r="L84" s="4"/>
      <c r="M84" s="4" t="s">
        <v>630</v>
      </c>
      <c r="N84" s="4"/>
      <c r="O84" s="4"/>
      <c r="P84" s="4"/>
      <c r="Q84" s="4"/>
      <c r="R84" s="4"/>
      <c r="S84" s="4" t="s">
        <v>631</v>
      </c>
    </row>
    <row r="85" spans="1:19" ht="149.5" x14ac:dyDescent="0.35">
      <c r="A85" s="4" t="s">
        <v>632</v>
      </c>
      <c r="B85" s="4" t="s">
        <v>625</v>
      </c>
      <c r="C85" s="4" t="s">
        <v>373</v>
      </c>
      <c r="D85" s="4" t="s">
        <v>626</v>
      </c>
      <c r="E85" s="4" t="s">
        <v>103</v>
      </c>
      <c r="F85" s="5" t="s">
        <v>62</v>
      </c>
      <c r="G85" s="5" t="s">
        <v>88</v>
      </c>
      <c r="H85" s="4" t="s">
        <v>24</v>
      </c>
      <c r="I85" s="4" t="s">
        <v>633</v>
      </c>
      <c r="J85" s="4" t="s">
        <v>634</v>
      </c>
      <c r="K85" s="10" t="s">
        <v>635</v>
      </c>
      <c r="L85" s="4"/>
      <c r="M85" s="4" t="s">
        <v>636</v>
      </c>
      <c r="N85" s="4"/>
      <c r="O85" s="4"/>
      <c r="P85" s="4"/>
      <c r="Q85" s="4"/>
      <c r="R85" s="4"/>
      <c r="S85" s="4" t="s">
        <v>631</v>
      </c>
    </row>
    <row r="86" spans="1:19" ht="161" x14ac:dyDescent="0.35">
      <c r="A86" s="4" t="s">
        <v>637</v>
      </c>
      <c r="B86" s="4" t="s">
        <v>638</v>
      </c>
      <c r="C86" s="4" t="s">
        <v>592</v>
      </c>
      <c r="D86" s="4" t="s">
        <v>639</v>
      </c>
      <c r="E86" s="4" t="s">
        <v>61</v>
      </c>
      <c r="F86" s="5" t="s">
        <v>62</v>
      </c>
      <c r="G86" s="5" t="s">
        <v>63</v>
      </c>
      <c r="H86" s="4" t="s">
        <v>24</v>
      </c>
      <c r="I86" s="4" t="s">
        <v>640</v>
      </c>
      <c r="J86" s="4" t="s">
        <v>641</v>
      </c>
      <c r="K86" s="10" t="s">
        <v>642</v>
      </c>
      <c r="L86" s="4"/>
      <c r="M86" s="4" t="s">
        <v>643</v>
      </c>
      <c r="N86" s="4"/>
      <c r="O86" s="4"/>
      <c r="P86" s="4"/>
      <c r="Q86" s="4"/>
      <c r="R86" s="4"/>
      <c r="S86" s="4" t="s">
        <v>573</v>
      </c>
    </row>
    <row r="87" spans="1:19" ht="184" x14ac:dyDescent="0.35">
      <c r="A87" s="4" t="s">
        <v>644</v>
      </c>
      <c r="B87" s="4" t="s">
        <v>645</v>
      </c>
      <c r="C87" s="4" t="s">
        <v>59</v>
      </c>
      <c r="D87" s="4" t="s">
        <v>646</v>
      </c>
      <c r="E87" s="4" t="s">
        <v>103</v>
      </c>
      <c r="F87" s="5" t="s">
        <v>62</v>
      </c>
      <c r="G87" s="5" t="s">
        <v>63</v>
      </c>
      <c r="H87" s="4" t="s">
        <v>24</v>
      </c>
      <c r="I87" s="4" t="s">
        <v>647</v>
      </c>
      <c r="J87" s="4" t="s">
        <v>648</v>
      </c>
      <c r="K87" s="10" t="s">
        <v>649</v>
      </c>
      <c r="L87" s="4"/>
      <c r="M87" s="4" t="s">
        <v>650</v>
      </c>
      <c r="N87" s="4"/>
      <c r="O87" s="4"/>
      <c r="P87" s="4"/>
      <c r="Q87" s="4"/>
      <c r="R87" s="4"/>
      <c r="S87" s="4" t="s">
        <v>651</v>
      </c>
    </row>
    <row r="88" spans="1:19" ht="149.5" x14ac:dyDescent="0.35">
      <c r="A88" s="4" t="s">
        <v>652</v>
      </c>
      <c r="B88" s="4" t="s">
        <v>645</v>
      </c>
      <c r="C88" s="4" t="s">
        <v>59</v>
      </c>
      <c r="D88" s="4" t="s">
        <v>646</v>
      </c>
      <c r="E88" s="4" t="s">
        <v>103</v>
      </c>
      <c r="F88" s="5" t="s">
        <v>62</v>
      </c>
      <c r="G88" s="5" t="s">
        <v>88</v>
      </c>
      <c r="H88" s="4" t="s">
        <v>24</v>
      </c>
      <c r="I88" s="4" t="s">
        <v>653</v>
      </c>
      <c r="J88" s="4" t="s">
        <v>654</v>
      </c>
      <c r="K88" s="10" t="s">
        <v>655</v>
      </c>
      <c r="L88" s="4"/>
      <c r="M88" s="4" t="s">
        <v>656</v>
      </c>
      <c r="N88" s="4"/>
      <c r="O88" s="4"/>
      <c r="P88" s="4"/>
      <c r="Q88" s="4"/>
      <c r="R88" s="4"/>
      <c r="S88" s="4" t="s">
        <v>651</v>
      </c>
    </row>
    <row r="89" spans="1:19" ht="172.5" x14ac:dyDescent="0.35">
      <c r="A89" s="4" t="s">
        <v>657</v>
      </c>
      <c r="B89" s="4" t="s">
        <v>658</v>
      </c>
      <c r="C89" s="4" t="s">
        <v>192</v>
      </c>
      <c r="D89" s="4" t="s">
        <v>659</v>
      </c>
      <c r="E89" s="4" t="s">
        <v>103</v>
      </c>
      <c r="F89" s="5" t="s">
        <v>62</v>
      </c>
      <c r="G89" s="5" t="s">
        <v>63</v>
      </c>
      <c r="H89" s="4" t="s">
        <v>24</v>
      </c>
      <c r="I89" s="4" t="s">
        <v>660</v>
      </c>
      <c r="J89" s="4" t="s">
        <v>661</v>
      </c>
      <c r="K89" s="10" t="s">
        <v>662</v>
      </c>
      <c r="L89" s="4"/>
      <c r="M89" s="4" t="s">
        <v>663</v>
      </c>
      <c r="N89" s="4"/>
      <c r="O89" s="4"/>
      <c r="P89" s="4"/>
      <c r="Q89" s="4"/>
      <c r="R89" s="4"/>
      <c r="S89" s="4" t="s">
        <v>664</v>
      </c>
    </row>
    <row r="90" spans="1:19" ht="161" x14ac:dyDescent="0.35">
      <c r="A90" s="4" t="s">
        <v>665</v>
      </c>
      <c r="B90" s="4" t="s">
        <v>658</v>
      </c>
      <c r="C90" s="4" t="s">
        <v>192</v>
      </c>
      <c r="D90" s="4" t="s">
        <v>659</v>
      </c>
      <c r="E90" s="4" t="s">
        <v>103</v>
      </c>
      <c r="F90" s="5" t="s">
        <v>62</v>
      </c>
      <c r="G90" s="5" t="s">
        <v>88</v>
      </c>
      <c r="H90" s="4" t="s">
        <v>24</v>
      </c>
      <c r="I90" s="4" t="s">
        <v>666</v>
      </c>
      <c r="J90" s="4" t="s">
        <v>667</v>
      </c>
      <c r="K90" s="10" t="s">
        <v>668</v>
      </c>
      <c r="L90" s="4"/>
      <c r="M90" s="4" t="s">
        <v>669</v>
      </c>
      <c r="N90" s="4"/>
      <c r="O90" s="4"/>
      <c r="P90" s="4"/>
      <c r="Q90" s="4"/>
      <c r="R90" s="4"/>
      <c r="S90" s="4" t="s">
        <v>664</v>
      </c>
    </row>
    <row r="91" spans="1:19" ht="149.5" x14ac:dyDescent="0.35">
      <c r="A91" s="4" t="s">
        <v>670</v>
      </c>
      <c r="B91" s="4" t="s">
        <v>671</v>
      </c>
      <c r="C91" s="4" t="s">
        <v>192</v>
      </c>
      <c r="D91" s="4" t="s">
        <v>672</v>
      </c>
      <c r="E91" s="4" t="s">
        <v>73</v>
      </c>
      <c r="F91" s="5" t="s">
        <v>62</v>
      </c>
      <c r="G91" s="5" t="s">
        <v>63</v>
      </c>
      <c r="H91" s="4" t="s">
        <v>24</v>
      </c>
      <c r="I91" s="4" t="s">
        <v>673</v>
      </c>
      <c r="J91" s="4" t="s">
        <v>674</v>
      </c>
      <c r="K91" s="10" t="s">
        <v>675</v>
      </c>
      <c r="L91" s="4"/>
      <c r="M91" s="4" t="s">
        <v>676</v>
      </c>
      <c r="N91" s="4"/>
      <c r="O91" s="4"/>
      <c r="P91" s="4"/>
      <c r="Q91" s="4"/>
      <c r="R91" s="4"/>
      <c r="S91" s="4" t="s">
        <v>664</v>
      </c>
    </row>
    <row r="92" spans="1:19" ht="138" x14ac:dyDescent="0.35">
      <c r="A92" s="4" t="s">
        <v>677</v>
      </c>
      <c r="B92" s="4" t="s">
        <v>678</v>
      </c>
      <c r="C92" s="4" t="s">
        <v>315</v>
      </c>
      <c r="D92" s="4" t="s">
        <v>679</v>
      </c>
      <c r="E92" s="4" t="s">
        <v>61</v>
      </c>
      <c r="F92" s="5" t="s">
        <v>62</v>
      </c>
      <c r="G92" s="5" t="s">
        <v>63</v>
      </c>
      <c r="H92" s="4" t="s">
        <v>24</v>
      </c>
      <c r="I92" s="4" t="s">
        <v>680</v>
      </c>
      <c r="J92" s="4" t="s">
        <v>681</v>
      </c>
      <c r="K92" s="10" t="s">
        <v>682</v>
      </c>
      <c r="L92" s="4"/>
      <c r="M92" s="4" t="s">
        <v>683</v>
      </c>
      <c r="N92" s="4"/>
      <c r="O92" s="4"/>
      <c r="P92" s="4"/>
      <c r="Q92" s="4"/>
      <c r="R92" s="4"/>
      <c r="S92" s="4" t="s">
        <v>664</v>
      </c>
    </row>
    <row r="93" spans="1:19" ht="161" x14ac:dyDescent="0.35">
      <c r="A93" s="4" t="s">
        <v>684</v>
      </c>
      <c r="B93" s="4" t="s">
        <v>685</v>
      </c>
      <c r="C93" s="4" t="s">
        <v>315</v>
      </c>
      <c r="D93" s="4" t="s">
        <v>686</v>
      </c>
      <c r="E93" s="4" t="s">
        <v>103</v>
      </c>
      <c r="F93" s="6" t="s">
        <v>117</v>
      </c>
      <c r="G93" s="5" t="s">
        <v>63</v>
      </c>
      <c r="H93" s="4" t="s">
        <v>24</v>
      </c>
      <c r="I93" s="4" t="s">
        <v>687</v>
      </c>
      <c r="J93" s="4" t="s">
        <v>688</v>
      </c>
      <c r="K93" s="10" t="s">
        <v>689</v>
      </c>
      <c r="L93" s="4"/>
      <c r="M93" s="4" t="s">
        <v>690</v>
      </c>
      <c r="N93" s="4"/>
      <c r="O93" s="4"/>
      <c r="P93" s="4"/>
      <c r="Q93" s="4"/>
      <c r="R93" s="4"/>
      <c r="S93" s="4" t="s">
        <v>664</v>
      </c>
    </row>
    <row r="94" spans="1:19" ht="207" x14ac:dyDescent="0.35">
      <c r="A94" s="4" t="s">
        <v>691</v>
      </c>
      <c r="B94" s="4" t="s">
        <v>692</v>
      </c>
      <c r="C94" s="4" t="s">
        <v>315</v>
      </c>
      <c r="D94" s="4" t="s">
        <v>693</v>
      </c>
      <c r="E94" s="4" t="s">
        <v>61</v>
      </c>
      <c r="F94" s="5" t="s">
        <v>62</v>
      </c>
      <c r="G94" s="5" t="s">
        <v>63</v>
      </c>
      <c r="H94" s="4" t="s">
        <v>24</v>
      </c>
      <c r="I94" s="4" t="s">
        <v>694</v>
      </c>
      <c r="J94" s="4" t="s">
        <v>695</v>
      </c>
      <c r="K94" s="10" t="s">
        <v>696</v>
      </c>
      <c r="L94" s="4"/>
      <c r="M94" s="4" t="s">
        <v>697</v>
      </c>
      <c r="N94" s="4"/>
      <c r="O94" s="4"/>
      <c r="P94" s="4"/>
      <c r="Q94" s="4"/>
      <c r="R94" s="4"/>
      <c r="S94" s="4" t="s">
        <v>664</v>
      </c>
    </row>
    <row r="95" spans="1:19" ht="161" x14ac:dyDescent="0.35">
      <c r="A95" s="4" t="s">
        <v>698</v>
      </c>
      <c r="B95" s="4" t="s">
        <v>699</v>
      </c>
      <c r="C95" s="4" t="s">
        <v>373</v>
      </c>
      <c r="D95" s="4" t="s">
        <v>700</v>
      </c>
      <c r="E95" s="4" t="s">
        <v>61</v>
      </c>
      <c r="F95" s="5" t="s">
        <v>62</v>
      </c>
      <c r="G95" s="5" t="s">
        <v>63</v>
      </c>
      <c r="H95" s="4" t="s">
        <v>24</v>
      </c>
      <c r="I95" s="4" t="s">
        <v>701</v>
      </c>
      <c r="J95" s="4" t="s">
        <v>702</v>
      </c>
      <c r="K95" s="10" t="s">
        <v>703</v>
      </c>
      <c r="L95" s="4"/>
      <c r="M95" s="4" t="s">
        <v>704</v>
      </c>
      <c r="N95" s="4"/>
      <c r="O95" s="4"/>
      <c r="P95" s="4"/>
      <c r="Q95" s="4"/>
      <c r="R95" s="4"/>
      <c r="S95" s="4"/>
    </row>
    <row r="96" spans="1:19" ht="149.5" x14ac:dyDescent="0.35">
      <c r="A96" s="4" t="s">
        <v>705</v>
      </c>
      <c r="B96" s="4" t="s">
        <v>706</v>
      </c>
      <c r="C96" s="4" t="s">
        <v>381</v>
      </c>
      <c r="D96" s="4" t="s">
        <v>707</v>
      </c>
      <c r="E96" s="4" t="s">
        <v>61</v>
      </c>
      <c r="F96" s="6" t="s">
        <v>117</v>
      </c>
      <c r="G96" s="5" t="s">
        <v>63</v>
      </c>
      <c r="H96" s="4" t="s">
        <v>24</v>
      </c>
      <c r="I96" s="4" t="s">
        <v>708</v>
      </c>
      <c r="J96" s="4" t="s">
        <v>709</v>
      </c>
      <c r="K96" s="10" t="s">
        <v>710</v>
      </c>
      <c r="L96" s="4"/>
      <c r="M96" s="4" t="s">
        <v>711</v>
      </c>
      <c r="N96" s="4"/>
      <c r="O96" s="4"/>
      <c r="P96" s="4"/>
      <c r="Q96" s="4"/>
      <c r="R96" s="4"/>
      <c r="S96" s="4"/>
    </row>
    <row r="97" spans="1:19" ht="161" x14ac:dyDescent="0.35">
      <c r="A97" s="4" t="s">
        <v>712</v>
      </c>
      <c r="B97" s="4" t="s">
        <v>713</v>
      </c>
      <c r="C97" s="4" t="s">
        <v>381</v>
      </c>
      <c r="D97" s="4" t="s">
        <v>714</v>
      </c>
      <c r="E97" s="4" t="s">
        <v>61</v>
      </c>
      <c r="F97" s="6" t="s">
        <v>117</v>
      </c>
      <c r="G97" s="5" t="s">
        <v>63</v>
      </c>
      <c r="H97" s="4" t="s">
        <v>24</v>
      </c>
      <c r="I97" s="4" t="s">
        <v>715</v>
      </c>
      <c r="J97" s="4" t="s">
        <v>716</v>
      </c>
      <c r="K97" s="10" t="s">
        <v>717</v>
      </c>
      <c r="L97" s="4"/>
      <c r="M97" s="4" t="s">
        <v>718</v>
      </c>
      <c r="N97" s="4"/>
      <c r="O97" s="4"/>
      <c r="P97" s="4"/>
      <c r="Q97" s="4"/>
      <c r="R97" s="4"/>
      <c r="S97" s="4"/>
    </row>
    <row r="98" spans="1:19" ht="184" x14ac:dyDescent="0.35">
      <c r="A98" s="4" t="s">
        <v>719</v>
      </c>
      <c r="B98" s="4" t="s">
        <v>720</v>
      </c>
      <c r="C98" s="4" t="s">
        <v>592</v>
      </c>
      <c r="D98" s="4" t="s">
        <v>721</v>
      </c>
      <c r="E98" s="4" t="s">
        <v>61</v>
      </c>
      <c r="F98" s="5" t="s">
        <v>62</v>
      </c>
      <c r="G98" s="5" t="s">
        <v>63</v>
      </c>
      <c r="H98" s="4" t="s">
        <v>24</v>
      </c>
      <c r="I98" s="4" t="s">
        <v>722</v>
      </c>
      <c r="J98" s="4" t="s">
        <v>723</v>
      </c>
      <c r="K98" s="10" t="s">
        <v>724</v>
      </c>
      <c r="L98" s="4"/>
      <c r="M98" s="4" t="s">
        <v>725</v>
      </c>
      <c r="N98" s="4"/>
      <c r="O98" s="4"/>
      <c r="P98" s="4"/>
      <c r="Q98" s="4"/>
      <c r="R98" s="4"/>
      <c r="S98" s="4"/>
    </row>
    <row r="99" spans="1:19" ht="161" x14ac:dyDescent="0.35">
      <c r="A99" s="4" t="s">
        <v>726</v>
      </c>
      <c r="B99" s="4" t="s">
        <v>727</v>
      </c>
      <c r="C99" s="4" t="s">
        <v>592</v>
      </c>
      <c r="D99" s="4" t="s">
        <v>728</v>
      </c>
      <c r="E99" s="4" t="s">
        <v>61</v>
      </c>
      <c r="F99" s="5" t="s">
        <v>62</v>
      </c>
      <c r="G99" s="5" t="s">
        <v>63</v>
      </c>
      <c r="H99" s="4" t="s">
        <v>24</v>
      </c>
      <c r="I99" s="4" t="s">
        <v>729</v>
      </c>
      <c r="J99" s="4" t="s">
        <v>730</v>
      </c>
      <c r="K99" s="10" t="s">
        <v>731</v>
      </c>
      <c r="L99" s="4"/>
      <c r="M99" s="4" t="s">
        <v>732</v>
      </c>
      <c r="N99" s="4"/>
      <c r="O99" s="4"/>
      <c r="P99" s="4"/>
      <c r="Q99" s="4"/>
      <c r="R99" s="4"/>
      <c r="S99" s="4"/>
    </row>
    <row r="100" spans="1:19" ht="149.5" x14ac:dyDescent="0.35">
      <c r="A100" s="4" t="s">
        <v>733</v>
      </c>
      <c r="B100" s="4" t="s">
        <v>734</v>
      </c>
      <c r="C100" s="4" t="s">
        <v>592</v>
      </c>
      <c r="D100" s="4" t="s">
        <v>735</v>
      </c>
      <c r="E100" s="4" t="s">
        <v>61</v>
      </c>
      <c r="F100" s="5" t="s">
        <v>62</v>
      </c>
      <c r="G100" s="5" t="s">
        <v>63</v>
      </c>
      <c r="H100" s="4" t="s">
        <v>24</v>
      </c>
      <c r="I100" s="4" t="s">
        <v>736</v>
      </c>
      <c r="J100" s="4" t="s">
        <v>737</v>
      </c>
      <c r="K100" s="10" t="s">
        <v>738</v>
      </c>
      <c r="L100" s="4"/>
      <c r="M100" s="4" t="s">
        <v>739</v>
      </c>
      <c r="N100" s="4"/>
      <c r="O100" s="4"/>
      <c r="P100" s="4"/>
      <c r="Q100" s="4"/>
      <c r="R100" s="4"/>
      <c r="S100" s="4"/>
    </row>
    <row r="101" spans="1:19" ht="172.5" x14ac:dyDescent="0.35">
      <c r="A101" s="4" t="s">
        <v>740</v>
      </c>
      <c r="B101" s="4" t="s">
        <v>741</v>
      </c>
      <c r="C101" s="4" t="s">
        <v>592</v>
      </c>
      <c r="D101" s="4" t="s">
        <v>742</v>
      </c>
      <c r="E101" s="4" t="s">
        <v>61</v>
      </c>
      <c r="F101" s="5" t="s">
        <v>62</v>
      </c>
      <c r="G101" s="5" t="s">
        <v>63</v>
      </c>
      <c r="H101" s="4" t="s">
        <v>24</v>
      </c>
      <c r="I101" s="4" t="s">
        <v>743</v>
      </c>
      <c r="J101" s="4" t="s">
        <v>744</v>
      </c>
      <c r="K101" s="10" t="s">
        <v>745</v>
      </c>
      <c r="L101" s="4"/>
      <c r="M101" s="4" t="s">
        <v>746</v>
      </c>
      <c r="N101" s="4"/>
      <c r="O101" s="4"/>
      <c r="P101" s="4"/>
      <c r="Q101" s="4"/>
      <c r="R101" s="4"/>
      <c r="S101" s="4"/>
    </row>
    <row r="102" spans="1:19" ht="138" x14ac:dyDescent="0.35">
      <c r="A102" s="4" t="s">
        <v>747</v>
      </c>
      <c r="B102" s="4" t="s">
        <v>748</v>
      </c>
      <c r="C102" s="4" t="s">
        <v>315</v>
      </c>
      <c r="D102" s="4" t="s">
        <v>749</v>
      </c>
      <c r="E102" s="4" t="s">
        <v>61</v>
      </c>
      <c r="F102" s="5" t="s">
        <v>62</v>
      </c>
      <c r="G102" s="5" t="s">
        <v>63</v>
      </c>
      <c r="H102" s="4" t="s">
        <v>24</v>
      </c>
      <c r="I102" s="4" t="s">
        <v>750</v>
      </c>
      <c r="J102" s="4" t="s">
        <v>751</v>
      </c>
      <c r="K102" s="10" t="s">
        <v>752</v>
      </c>
      <c r="L102" s="4"/>
      <c r="M102" s="4" t="s">
        <v>753</v>
      </c>
      <c r="N102" s="4"/>
      <c r="O102" s="4"/>
      <c r="P102" s="4"/>
      <c r="Q102" s="4"/>
      <c r="R102" s="4"/>
      <c r="S102" s="4"/>
    </row>
    <row r="103" spans="1:19" ht="161" x14ac:dyDescent="0.35">
      <c r="A103" s="4" t="s">
        <v>754</v>
      </c>
      <c r="B103" s="4" t="s">
        <v>755</v>
      </c>
      <c r="C103" s="4" t="s">
        <v>192</v>
      </c>
      <c r="D103" s="4" t="s">
        <v>756</v>
      </c>
      <c r="E103" s="4" t="s">
        <v>61</v>
      </c>
      <c r="F103" s="5" t="s">
        <v>62</v>
      </c>
      <c r="G103" s="5" t="s">
        <v>63</v>
      </c>
      <c r="H103" s="4" t="s">
        <v>24</v>
      </c>
      <c r="I103" s="4" t="s">
        <v>757</v>
      </c>
      <c r="J103" s="4" t="s">
        <v>758</v>
      </c>
      <c r="K103" s="10" t="s">
        <v>759</v>
      </c>
      <c r="L103" s="4"/>
      <c r="M103" s="4" t="s">
        <v>760</v>
      </c>
      <c r="N103" s="4"/>
      <c r="O103" s="4"/>
      <c r="P103" s="4"/>
      <c r="Q103" s="4"/>
      <c r="R103" s="4"/>
      <c r="S103" s="4"/>
    </row>
    <row r="104" spans="1:19" ht="172.5" x14ac:dyDescent="0.35">
      <c r="A104" s="4" t="s">
        <v>761</v>
      </c>
      <c r="B104" s="4" t="s">
        <v>755</v>
      </c>
      <c r="C104" s="4" t="s">
        <v>192</v>
      </c>
      <c r="D104" s="4" t="s">
        <v>756</v>
      </c>
      <c r="E104" s="4" t="s">
        <v>61</v>
      </c>
      <c r="F104" s="5" t="s">
        <v>62</v>
      </c>
      <c r="G104" s="5" t="s">
        <v>88</v>
      </c>
      <c r="H104" s="4" t="s">
        <v>24</v>
      </c>
      <c r="I104" s="4" t="s">
        <v>762</v>
      </c>
      <c r="J104" s="4" t="s">
        <v>763</v>
      </c>
      <c r="K104" s="10" t="s">
        <v>764</v>
      </c>
      <c r="L104" s="4"/>
      <c r="M104" s="4" t="s">
        <v>765</v>
      </c>
      <c r="N104" s="4"/>
      <c r="O104" s="4"/>
      <c r="P104" s="4"/>
      <c r="Q104" s="4"/>
      <c r="R104" s="4"/>
      <c r="S104" s="4"/>
    </row>
    <row r="105" spans="1:19" ht="195.5" x14ac:dyDescent="0.35">
      <c r="A105" s="4" t="s">
        <v>766</v>
      </c>
      <c r="B105" s="4" t="s">
        <v>767</v>
      </c>
      <c r="C105" s="4" t="s">
        <v>592</v>
      </c>
      <c r="D105" s="4" t="s">
        <v>768</v>
      </c>
      <c r="E105" s="4" t="s">
        <v>61</v>
      </c>
      <c r="F105" s="5" t="s">
        <v>62</v>
      </c>
      <c r="G105" s="5" t="s">
        <v>63</v>
      </c>
      <c r="H105" s="4" t="s">
        <v>24</v>
      </c>
      <c r="I105" s="4" t="s">
        <v>769</v>
      </c>
      <c r="J105" s="4" t="s">
        <v>770</v>
      </c>
      <c r="K105" s="10" t="s">
        <v>771</v>
      </c>
      <c r="L105" s="4"/>
      <c r="M105" s="4" t="s">
        <v>772</v>
      </c>
      <c r="N105" s="4"/>
      <c r="O105" s="4"/>
      <c r="P105" s="4"/>
      <c r="Q105" s="4"/>
      <c r="R105" s="4"/>
      <c r="S105" s="4"/>
    </row>
    <row r="106" spans="1:19" ht="172.5" x14ac:dyDescent="0.35">
      <c r="A106" s="4" t="s">
        <v>773</v>
      </c>
      <c r="B106" s="4" t="s">
        <v>774</v>
      </c>
      <c r="C106" s="4" t="s">
        <v>373</v>
      </c>
      <c r="D106" s="4" t="s">
        <v>775</v>
      </c>
      <c r="E106" s="4" t="s">
        <v>73</v>
      </c>
      <c r="F106" s="5" t="s">
        <v>62</v>
      </c>
      <c r="G106" s="5" t="s">
        <v>63</v>
      </c>
      <c r="H106" s="4" t="s">
        <v>24</v>
      </c>
      <c r="I106" s="4" t="s">
        <v>776</v>
      </c>
      <c r="J106" s="4" t="s">
        <v>777</v>
      </c>
      <c r="K106" s="10" t="s">
        <v>778</v>
      </c>
      <c r="L106" s="4"/>
      <c r="M106" s="4" t="s">
        <v>779</v>
      </c>
      <c r="N106" s="4"/>
      <c r="O106" s="4"/>
      <c r="P106" s="4"/>
      <c r="Q106" s="4"/>
      <c r="R106" s="4"/>
      <c r="S106" s="4"/>
    </row>
    <row r="107" spans="1:19" ht="207" x14ac:dyDescent="0.35">
      <c r="A107" s="4" t="s">
        <v>780</v>
      </c>
      <c r="B107" s="4" t="s">
        <v>781</v>
      </c>
      <c r="C107" s="4" t="s">
        <v>373</v>
      </c>
      <c r="D107" s="4" t="s">
        <v>782</v>
      </c>
      <c r="E107" s="4" t="s">
        <v>73</v>
      </c>
      <c r="F107" s="5" t="s">
        <v>62</v>
      </c>
      <c r="G107" s="5" t="s">
        <v>63</v>
      </c>
      <c r="H107" s="4" t="s">
        <v>24</v>
      </c>
      <c r="I107" s="4" t="s">
        <v>783</v>
      </c>
      <c r="J107" s="4" t="s">
        <v>784</v>
      </c>
      <c r="K107" s="10" t="s">
        <v>785</v>
      </c>
      <c r="L107" s="4"/>
      <c r="M107" s="4" t="s">
        <v>786</v>
      </c>
      <c r="N107" s="4"/>
      <c r="O107" s="4"/>
      <c r="P107" s="4"/>
      <c r="Q107" s="4"/>
      <c r="R107" s="4"/>
      <c r="S107" s="4"/>
    </row>
    <row r="108" spans="1:19" ht="207" x14ac:dyDescent="0.35">
      <c r="A108" s="4" t="s">
        <v>787</v>
      </c>
      <c r="B108" s="4" t="s">
        <v>788</v>
      </c>
      <c r="C108" s="4" t="s">
        <v>381</v>
      </c>
      <c r="D108" s="4" t="s">
        <v>789</v>
      </c>
      <c r="E108" s="4" t="s">
        <v>103</v>
      </c>
      <c r="F108" s="5" t="s">
        <v>62</v>
      </c>
      <c r="G108" s="5" t="s">
        <v>63</v>
      </c>
      <c r="H108" s="4" t="s">
        <v>24</v>
      </c>
      <c r="I108" s="4" t="s">
        <v>790</v>
      </c>
      <c r="J108" s="4" t="s">
        <v>791</v>
      </c>
      <c r="K108" s="10" t="s">
        <v>792</v>
      </c>
      <c r="L108" s="4"/>
      <c r="M108" s="4" t="s">
        <v>793</v>
      </c>
      <c r="N108" s="4"/>
      <c r="O108" s="4"/>
      <c r="P108" s="4"/>
      <c r="Q108" s="4"/>
      <c r="R108" s="4"/>
      <c r="S108" s="4"/>
    </row>
    <row r="109" spans="1:19" ht="149.5" x14ac:dyDescent="0.35">
      <c r="A109" s="4" t="s">
        <v>794</v>
      </c>
      <c r="B109" s="4" t="s">
        <v>795</v>
      </c>
      <c r="C109" s="4" t="s">
        <v>592</v>
      </c>
      <c r="D109" s="4" t="s">
        <v>796</v>
      </c>
      <c r="E109" s="4" t="s">
        <v>61</v>
      </c>
      <c r="F109" s="5" t="s">
        <v>62</v>
      </c>
      <c r="G109" s="5" t="s">
        <v>63</v>
      </c>
      <c r="H109" s="4" t="s">
        <v>24</v>
      </c>
      <c r="I109" s="4" t="s">
        <v>797</v>
      </c>
      <c r="J109" s="4" t="s">
        <v>798</v>
      </c>
      <c r="K109" s="10" t="s">
        <v>799</v>
      </c>
      <c r="L109" s="4"/>
      <c r="M109" s="4" t="s">
        <v>800</v>
      </c>
      <c r="N109" s="4"/>
      <c r="O109" s="4"/>
      <c r="P109" s="4"/>
      <c r="Q109" s="4"/>
      <c r="R109" s="4"/>
      <c r="S109" s="4"/>
    </row>
    <row r="110" spans="1:19" ht="138" x14ac:dyDescent="0.35">
      <c r="A110" s="4" t="s">
        <v>801</v>
      </c>
      <c r="B110" s="4" t="s">
        <v>795</v>
      </c>
      <c r="C110" s="4" t="s">
        <v>592</v>
      </c>
      <c r="D110" s="4" t="s">
        <v>796</v>
      </c>
      <c r="E110" s="4" t="s">
        <v>61</v>
      </c>
      <c r="F110" s="5" t="s">
        <v>62</v>
      </c>
      <c r="G110" s="5" t="s">
        <v>88</v>
      </c>
      <c r="H110" s="4" t="s">
        <v>24</v>
      </c>
      <c r="I110" s="4" t="s">
        <v>802</v>
      </c>
      <c r="J110" s="4" t="s">
        <v>803</v>
      </c>
      <c r="K110" s="10" t="s">
        <v>804</v>
      </c>
      <c r="L110" s="4"/>
      <c r="M110" s="4" t="s">
        <v>805</v>
      </c>
      <c r="N110" s="4"/>
      <c r="O110" s="4"/>
      <c r="P110" s="4"/>
      <c r="Q110" s="4"/>
      <c r="R110" s="4"/>
      <c r="S110" s="4"/>
    </row>
    <row r="111" spans="1:19" ht="161" x14ac:dyDescent="0.35">
      <c r="A111" s="4" t="s">
        <v>806</v>
      </c>
      <c r="B111" s="4" t="s">
        <v>807</v>
      </c>
      <c r="C111" s="4" t="s">
        <v>592</v>
      </c>
      <c r="D111" s="4" t="s">
        <v>808</v>
      </c>
      <c r="E111" s="4" t="s">
        <v>61</v>
      </c>
      <c r="F111" s="5" t="s">
        <v>62</v>
      </c>
      <c r="G111" s="5" t="s">
        <v>63</v>
      </c>
      <c r="H111" s="4" t="s">
        <v>24</v>
      </c>
      <c r="I111" s="4" t="s">
        <v>809</v>
      </c>
      <c r="J111" s="4" t="s">
        <v>810</v>
      </c>
      <c r="K111" s="10" t="s">
        <v>811</v>
      </c>
      <c r="L111" s="4"/>
      <c r="M111" s="4" t="s">
        <v>812</v>
      </c>
      <c r="N111" s="4"/>
      <c r="O111" s="4"/>
      <c r="P111" s="4"/>
      <c r="Q111" s="4"/>
      <c r="R111" s="4"/>
      <c r="S111" s="4"/>
    </row>
    <row r="112" spans="1:19" ht="149.5" x14ac:dyDescent="0.35">
      <c r="A112" s="4" t="s">
        <v>813</v>
      </c>
      <c r="B112" s="4" t="s">
        <v>807</v>
      </c>
      <c r="C112" s="4" t="s">
        <v>592</v>
      </c>
      <c r="D112" s="4" t="s">
        <v>808</v>
      </c>
      <c r="E112" s="4" t="s">
        <v>61</v>
      </c>
      <c r="F112" s="5" t="s">
        <v>62</v>
      </c>
      <c r="G112" s="5" t="s">
        <v>88</v>
      </c>
      <c r="H112" s="4" t="s">
        <v>24</v>
      </c>
      <c r="I112" s="4" t="s">
        <v>814</v>
      </c>
      <c r="J112" s="4" t="s">
        <v>815</v>
      </c>
      <c r="K112" s="10" t="s">
        <v>816</v>
      </c>
      <c r="L112" s="4"/>
      <c r="M112" s="4" t="s">
        <v>817</v>
      </c>
      <c r="N112" s="4"/>
      <c r="O112" s="4"/>
      <c r="P112" s="4"/>
      <c r="Q112" s="4"/>
      <c r="R112" s="4"/>
      <c r="S112" s="4"/>
    </row>
    <row r="113" spans="1:19" ht="184" x14ac:dyDescent="0.35">
      <c r="A113" s="4" t="s">
        <v>818</v>
      </c>
      <c r="B113" s="4" t="s">
        <v>819</v>
      </c>
      <c r="C113" s="4" t="s">
        <v>592</v>
      </c>
      <c r="D113" s="4" t="s">
        <v>820</v>
      </c>
      <c r="E113" s="4" t="s">
        <v>61</v>
      </c>
      <c r="F113" s="6" t="s">
        <v>117</v>
      </c>
      <c r="G113" s="5" t="s">
        <v>63</v>
      </c>
      <c r="H113" s="4" t="s">
        <v>24</v>
      </c>
      <c r="I113" s="4" t="s">
        <v>821</v>
      </c>
      <c r="J113" s="4" t="s">
        <v>822</v>
      </c>
      <c r="K113" s="10" t="s">
        <v>823</v>
      </c>
      <c r="L113" s="4"/>
      <c r="M113" s="4" t="s">
        <v>824</v>
      </c>
      <c r="N113" s="4"/>
      <c r="O113" s="4"/>
      <c r="P113" s="4"/>
      <c r="Q113" s="4"/>
      <c r="R113" s="4"/>
      <c r="S113" s="4" t="s">
        <v>573</v>
      </c>
    </row>
    <row r="114" spans="1:19" ht="161" x14ac:dyDescent="0.35">
      <c r="A114" s="4" t="s">
        <v>825</v>
      </c>
      <c r="B114" s="4" t="s">
        <v>826</v>
      </c>
      <c r="C114" s="4" t="s">
        <v>592</v>
      </c>
      <c r="D114" s="4" t="s">
        <v>827</v>
      </c>
      <c r="E114" s="4" t="s">
        <v>61</v>
      </c>
      <c r="F114" s="5" t="s">
        <v>62</v>
      </c>
      <c r="G114" s="5" t="s">
        <v>63</v>
      </c>
      <c r="H114" s="4" t="s">
        <v>24</v>
      </c>
      <c r="I114" s="4" t="s">
        <v>828</v>
      </c>
      <c r="J114" s="4" t="s">
        <v>829</v>
      </c>
      <c r="K114" s="10" t="s">
        <v>830</v>
      </c>
      <c r="L114" s="4"/>
      <c r="M114" s="4" t="s">
        <v>831</v>
      </c>
      <c r="N114" s="4"/>
      <c r="O114" s="4"/>
      <c r="P114" s="4"/>
      <c r="Q114" s="4"/>
      <c r="R114" s="4"/>
      <c r="S114" s="4"/>
    </row>
    <row r="115" spans="1:19" ht="207" x14ac:dyDescent="0.35">
      <c r="A115" s="4" t="s">
        <v>832</v>
      </c>
      <c r="B115" s="4" t="s">
        <v>833</v>
      </c>
      <c r="C115" s="4" t="s">
        <v>592</v>
      </c>
      <c r="D115" s="4" t="s">
        <v>834</v>
      </c>
      <c r="E115" s="4" t="s">
        <v>61</v>
      </c>
      <c r="F115" s="5" t="s">
        <v>62</v>
      </c>
      <c r="G115" s="5" t="s">
        <v>63</v>
      </c>
      <c r="H115" s="4" t="s">
        <v>24</v>
      </c>
      <c r="I115" s="4" t="s">
        <v>835</v>
      </c>
      <c r="J115" s="4" t="s">
        <v>836</v>
      </c>
      <c r="K115" s="10" t="s">
        <v>837</v>
      </c>
      <c r="L115" s="4"/>
      <c r="M115" s="4" t="s">
        <v>838</v>
      </c>
      <c r="N115" s="4"/>
      <c r="O115" s="4"/>
      <c r="P115" s="4"/>
      <c r="Q115" s="4"/>
      <c r="R115" s="4"/>
      <c r="S115" s="4" t="s">
        <v>839</v>
      </c>
    </row>
    <row r="116" spans="1:19" ht="195.5" x14ac:dyDescent="0.35">
      <c r="A116" s="4" t="s">
        <v>840</v>
      </c>
      <c r="B116" s="4" t="s">
        <v>841</v>
      </c>
      <c r="C116" s="4" t="s">
        <v>265</v>
      </c>
      <c r="D116" s="4" t="s">
        <v>842</v>
      </c>
      <c r="E116" s="4" t="s">
        <v>61</v>
      </c>
      <c r="F116" s="5" t="s">
        <v>62</v>
      </c>
      <c r="G116" s="5" t="s">
        <v>63</v>
      </c>
      <c r="H116" s="4" t="s">
        <v>24</v>
      </c>
      <c r="I116" s="4" t="s">
        <v>843</v>
      </c>
      <c r="J116" s="4" t="s">
        <v>844</v>
      </c>
      <c r="K116" s="10" t="s">
        <v>845</v>
      </c>
      <c r="L116" s="4"/>
      <c r="M116" s="4" t="s">
        <v>846</v>
      </c>
      <c r="N116" s="4"/>
      <c r="O116" s="4"/>
      <c r="P116" s="4"/>
      <c r="Q116" s="4"/>
      <c r="R116" s="4"/>
      <c r="S116" s="4"/>
    </row>
    <row r="117" spans="1:19" ht="149.5" x14ac:dyDescent="0.35">
      <c r="A117" s="4" t="s">
        <v>847</v>
      </c>
      <c r="B117" s="4" t="s">
        <v>848</v>
      </c>
      <c r="C117" s="4" t="s">
        <v>265</v>
      </c>
      <c r="D117" s="4" t="s">
        <v>849</v>
      </c>
      <c r="E117" s="4" t="s">
        <v>61</v>
      </c>
      <c r="F117" s="6" t="s">
        <v>117</v>
      </c>
      <c r="G117" s="5" t="s">
        <v>63</v>
      </c>
      <c r="H117" s="4" t="s">
        <v>24</v>
      </c>
      <c r="I117" s="4" t="s">
        <v>850</v>
      </c>
      <c r="J117" s="4" t="s">
        <v>851</v>
      </c>
      <c r="K117" s="10" t="s">
        <v>852</v>
      </c>
      <c r="L117" s="4"/>
      <c r="M117" s="4" t="s">
        <v>853</v>
      </c>
      <c r="N117" s="4"/>
      <c r="O117" s="4"/>
      <c r="P117" s="4"/>
      <c r="Q117" s="4"/>
      <c r="R117" s="4"/>
      <c r="S117" s="4"/>
    </row>
    <row r="118" spans="1:19" ht="138" x14ac:dyDescent="0.35">
      <c r="A118" s="4" t="s">
        <v>854</v>
      </c>
      <c r="B118" s="4" t="s">
        <v>855</v>
      </c>
      <c r="C118" s="4" t="s">
        <v>192</v>
      </c>
      <c r="D118" s="4" t="s">
        <v>856</v>
      </c>
      <c r="E118" s="4" t="s">
        <v>61</v>
      </c>
      <c r="F118" s="5" t="s">
        <v>62</v>
      </c>
      <c r="G118" s="5" t="s">
        <v>63</v>
      </c>
      <c r="H118" s="4" t="s">
        <v>24</v>
      </c>
      <c r="I118" s="4" t="s">
        <v>857</v>
      </c>
      <c r="J118" s="4" t="s">
        <v>858</v>
      </c>
      <c r="K118" s="10" t="s">
        <v>859</v>
      </c>
      <c r="L118" s="4"/>
      <c r="M118" s="4" t="s">
        <v>860</v>
      </c>
      <c r="N118" s="4"/>
      <c r="O118" s="4"/>
      <c r="P118" s="4"/>
      <c r="Q118" s="4"/>
      <c r="R118" s="4"/>
      <c r="S118" s="4"/>
    </row>
    <row r="119" spans="1:19" ht="230" x14ac:dyDescent="0.35">
      <c r="A119" s="4" t="s">
        <v>861</v>
      </c>
      <c r="B119" s="4" t="s">
        <v>862</v>
      </c>
      <c r="C119" s="4" t="s">
        <v>592</v>
      </c>
      <c r="D119" s="4" t="s">
        <v>863</v>
      </c>
      <c r="E119" s="4" t="s">
        <v>103</v>
      </c>
      <c r="F119" s="5" t="s">
        <v>62</v>
      </c>
      <c r="G119" s="5" t="s">
        <v>63</v>
      </c>
      <c r="H119" s="4" t="s">
        <v>24</v>
      </c>
      <c r="I119" s="4" t="s">
        <v>864</v>
      </c>
      <c r="J119" s="4" t="s">
        <v>865</v>
      </c>
      <c r="K119" s="10" t="s">
        <v>866</v>
      </c>
      <c r="L119" s="4"/>
      <c r="M119" s="4" t="s">
        <v>867</v>
      </c>
      <c r="N119" s="4"/>
      <c r="O119" s="4"/>
      <c r="P119" s="4"/>
      <c r="Q119" s="4"/>
      <c r="R119" s="4"/>
      <c r="S119" s="4"/>
    </row>
    <row r="120" spans="1:19" ht="218.5" x14ac:dyDescent="0.35">
      <c r="A120" s="4" t="s">
        <v>868</v>
      </c>
      <c r="B120" s="4" t="s">
        <v>862</v>
      </c>
      <c r="C120" s="4" t="s">
        <v>592</v>
      </c>
      <c r="D120" s="4" t="s">
        <v>863</v>
      </c>
      <c r="E120" s="4" t="s">
        <v>103</v>
      </c>
      <c r="F120" s="5" t="s">
        <v>62</v>
      </c>
      <c r="G120" s="5" t="s">
        <v>88</v>
      </c>
      <c r="H120" s="4" t="s">
        <v>24</v>
      </c>
      <c r="I120" s="4" t="s">
        <v>869</v>
      </c>
      <c r="J120" s="4" t="s">
        <v>870</v>
      </c>
      <c r="K120" s="10" t="s">
        <v>871</v>
      </c>
      <c r="L120" s="4"/>
      <c r="M120" s="4" t="s">
        <v>872</v>
      </c>
      <c r="N120" s="4"/>
      <c r="O120" s="4"/>
      <c r="P120" s="4"/>
      <c r="Q120" s="4"/>
      <c r="R120" s="4"/>
      <c r="S120" s="4"/>
    </row>
    <row r="121" spans="1:19" ht="207" x14ac:dyDescent="0.35">
      <c r="A121" s="4" t="s">
        <v>873</v>
      </c>
      <c r="B121" s="4" t="s">
        <v>874</v>
      </c>
      <c r="C121" s="4" t="s">
        <v>592</v>
      </c>
      <c r="D121" s="4" t="s">
        <v>875</v>
      </c>
      <c r="E121" s="4" t="s">
        <v>103</v>
      </c>
      <c r="F121" s="5" t="s">
        <v>62</v>
      </c>
      <c r="G121" s="5" t="s">
        <v>63</v>
      </c>
      <c r="H121" s="4" t="s">
        <v>24</v>
      </c>
      <c r="I121" s="4" t="s">
        <v>876</v>
      </c>
      <c r="J121" s="4" t="s">
        <v>877</v>
      </c>
      <c r="K121" s="10" t="s">
        <v>878</v>
      </c>
      <c r="L121" s="4"/>
      <c r="M121" s="4" t="s">
        <v>879</v>
      </c>
      <c r="N121" s="4"/>
      <c r="O121" s="4"/>
      <c r="P121" s="4"/>
      <c r="Q121" s="4"/>
      <c r="R121" s="4"/>
      <c r="S121" s="4"/>
    </row>
    <row r="122" spans="1:19" ht="207" x14ac:dyDescent="0.35">
      <c r="A122" s="4" t="s">
        <v>880</v>
      </c>
      <c r="B122" s="4" t="s">
        <v>881</v>
      </c>
      <c r="C122" s="4" t="s">
        <v>592</v>
      </c>
      <c r="D122" s="4" t="s">
        <v>882</v>
      </c>
      <c r="E122" s="4" t="s">
        <v>103</v>
      </c>
      <c r="F122" s="5" t="s">
        <v>62</v>
      </c>
      <c r="G122" s="5" t="s">
        <v>63</v>
      </c>
      <c r="H122" s="4" t="s">
        <v>24</v>
      </c>
      <c r="I122" s="4" t="s">
        <v>883</v>
      </c>
      <c r="J122" s="4" t="s">
        <v>884</v>
      </c>
      <c r="K122" s="10" t="s">
        <v>885</v>
      </c>
      <c r="L122" s="4"/>
      <c r="M122" s="4" t="s">
        <v>886</v>
      </c>
      <c r="N122" s="4"/>
      <c r="O122" s="4"/>
      <c r="P122" s="4"/>
      <c r="Q122" s="4"/>
      <c r="R122" s="4"/>
      <c r="S122" s="4"/>
    </row>
    <row r="123" spans="1:19" ht="149.5" x14ac:dyDescent="0.35">
      <c r="A123" s="4" t="s">
        <v>887</v>
      </c>
      <c r="B123" s="4" t="s">
        <v>888</v>
      </c>
      <c r="C123" s="4" t="s">
        <v>592</v>
      </c>
      <c r="D123" s="4" t="s">
        <v>889</v>
      </c>
      <c r="E123" s="4" t="s">
        <v>61</v>
      </c>
      <c r="F123" s="5" t="s">
        <v>62</v>
      </c>
      <c r="G123" s="5" t="s">
        <v>63</v>
      </c>
      <c r="H123" s="4" t="s">
        <v>24</v>
      </c>
      <c r="I123" s="4" t="s">
        <v>890</v>
      </c>
      <c r="J123" s="4" t="s">
        <v>891</v>
      </c>
      <c r="K123" s="10" t="s">
        <v>892</v>
      </c>
      <c r="L123" s="4"/>
      <c r="M123" s="4" t="s">
        <v>893</v>
      </c>
      <c r="N123" s="4"/>
      <c r="O123" s="4"/>
      <c r="P123" s="4"/>
      <c r="Q123" s="4"/>
      <c r="R123" s="4"/>
      <c r="S123" s="4"/>
    </row>
    <row r="124" spans="1:19" ht="138" x14ac:dyDescent="0.35">
      <c r="A124" s="4" t="s">
        <v>894</v>
      </c>
      <c r="B124" s="4" t="s">
        <v>888</v>
      </c>
      <c r="C124" s="4" t="s">
        <v>592</v>
      </c>
      <c r="D124" s="4" t="s">
        <v>889</v>
      </c>
      <c r="E124" s="4" t="s">
        <v>61</v>
      </c>
      <c r="F124" s="5" t="s">
        <v>62</v>
      </c>
      <c r="G124" s="5" t="s">
        <v>88</v>
      </c>
      <c r="H124" s="4" t="s">
        <v>24</v>
      </c>
      <c r="I124" s="4" t="s">
        <v>895</v>
      </c>
      <c r="J124" s="4" t="s">
        <v>896</v>
      </c>
      <c r="K124" s="10" t="s">
        <v>897</v>
      </c>
      <c r="L124" s="4"/>
      <c r="M124" s="4" t="s">
        <v>898</v>
      </c>
      <c r="N124" s="4"/>
      <c r="O124" s="4"/>
      <c r="P124" s="4"/>
      <c r="Q124" s="4"/>
      <c r="R124" s="4"/>
      <c r="S124" s="4"/>
    </row>
    <row r="125" spans="1:19" ht="172.5" x14ac:dyDescent="0.35">
      <c r="A125" s="4" t="s">
        <v>899</v>
      </c>
      <c r="B125" s="4" t="s">
        <v>900</v>
      </c>
      <c r="C125" s="4" t="s">
        <v>592</v>
      </c>
      <c r="D125" s="4" t="s">
        <v>901</v>
      </c>
      <c r="E125" s="4" t="s">
        <v>61</v>
      </c>
      <c r="F125" s="6" t="s">
        <v>117</v>
      </c>
      <c r="G125" s="5" t="s">
        <v>63</v>
      </c>
      <c r="H125" s="4" t="s">
        <v>24</v>
      </c>
      <c r="I125" s="4" t="s">
        <v>902</v>
      </c>
      <c r="J125" s="4" t="s">
        <v>903</v>
      </c>
      <c r="K125" s="10" t="s">
        <v>904</v>
      </c>
      <c r="L125" s="4"/>
      <c r="M125" s="4" t="s">
        <v>905</v>
      </c>
      <c r="N125" s="4"/>
      <c r="O125" s="4"/>
      <c r="P125" s="4"/>
      <c r="Q125" s="4"/>
      <c r="R125" s="4"/>
      <c r="S125" s="4"/>
    </row>
    <row r="126" spans="1:19" ht="149.5" x14ac:dyDescent="0.35">
      <c r="A126" s="4" t="s">
        <v>906</v>
      </c>
      <c r="B126" s="4" t="s">
        <v>907</v>
      </c>
      <c r="C126" s="4" t="s">
        <v>908</v>
      </c>
      <c r="D126" s="4" t="s">
        <v>909</v>
      </c>
      <c r="E126" s="4" t="s">
        <v>61</v>
      </c>
      <c r="F126" s="5" t="s">
        <v>62</v>
      </c>
      <c r="G126" s="5" t="s">
        <v>63</v>
      </c>
      <c r="H126" s="4" t="s">
        <v>24</v>
      </c>
      <c r="I126" s="4" t="s">
        <v>910</v>
      </c>
      <c r="J126" s="4" t="s">
        <v>911</v>
      </c>
      <c r="K126" s="10" t="s">
        <v>912</v>
      </c>
      <c r="L126" s="4"/>
      <c r="M126" s="4" t="s">
        <v>913</v>
      </c>
      <c r="N126" s="4"/>
      <c r="O126" s="4"/>
      <c r="P126" s="4"/>
      <c r="Q126" s="4"/>
      <c r="R126" s="4"/>
      <c r="S126" s="4"/>
    </row>
    <row r="127" spans="1:19" ht="149.5" x14ac:dyDescent="0.35">
      <c r="A127" s="4" t="s">
        <v>914</v>
      </c>
      <c r="B127" s="4" t="s">
        <v>907</v>
      </c>
      <c r="C127" s="4" t="s">
        <v>908</v>
      </c>
      <c r="D127" s="4" t="s">
        <v>909</v>
      </c>
      <c r="E127" s="4" t="s">
        <v>61</v>
      </c>
      <c r="F127" s="5" t="s">
        <v>62</v>
      </c>
      <c r="G127" s="5" t="s">
        <v>88</v>
      </c>
      <c r="H127" s="4" t="s">
        <v>24</v>
      </c>
      <c r="I127" s="4" t="s">
        <v>915</v>
      </c>
      <c r="J127" s="4" t="s">
        <v>916</v>
      </c>
      <c r="K127" s="10" t="s">
        <v>917</v>
      </c>
      <c r="L127" s="4"/>
      <c r="M127" s="4" t="s">
        <v>918</v>
      </c>
      <c r="N127" s="4"/>
      <c r="O127" s="4"/>
      <c r="P127" s="4"/>
      <c r="Q127" s="4"/>
      <c r="R127" s="4"/>
      <c r="S127" s="4"/>
    </row>
    <row r="128" spans="1:19" ht="149.5" x14ac:dyDescent="0.35">
      <c r="A128" s="4" t="s">
        <v>919</v>
      </c>
      <c r="B128" s="4" t="s">
        <v>920</v>
      </c>
      <c r="C128" s="4" t="s">
        <v>592</v>
      </c>
      <c r="D128" s="4" t="s">
        <v>921</v>
      </c>
      <c r="E128" s="4" t="s">
        <v>61</v>
      </c>
      <c r="F128" s="5" t="s">
        <v>62</v>
      </c>
      <c r="G128" s="5" t="s">
        <v>63</v>
      </c>
      <c r="H128" s="4" t="s">
        <v>24</v>
      </c>
      <c r="I128" s="4" t="s">
        <v>922</v>
      </c>
      <c r="J128" s="4" t="s">
        <v>923</v>
      </c>
      <c r="K128" s="10" t="s">
        <v>924</v>
      </c>
      <c r="L128" s="4"/>
      <c r="M128" s="4" t="s">
        <v>925</v>
      </c>
      <c r="N128" s="4"/>
      <c r="O128" s="4"/>
      <c r="P128" s="4"/>
      <c r="Q128" s="4"/>
      <c r="R128" s="4"/>
      <c r="S128" s="4"/>
    </row>
    <row r="129" spans="1:19" ht="184" x14ac:dyDescent="0.35">
      <c r="A129" s="4" t="s">
        <v>926</v>
      </c>
      <c r="B129" s="4" t="s">
        <v>927</v>
      </c>
      <c r="C129" s="4" t="s">
        <v>928</v>
      </c>
      <c r="D129" s="4" t="s">
        <v>929</v>
      </c>
      <c r="E129" s="4" t="s">
        <v>61</v>
      </c>
      <c r="F129" s="7" t="s">
        <v>338</v>
      </c>
      <c r="G129" s="5" t="s">
        <v>63</v>
      </c>
      <c r="H129" s="4" t="s">
        <v>26</v>
      </c>
      <c r="I129" s="4" t="s">
        <v>930</v>
      </c>
      <c r="J129" s="4" t="s">
        <v>931</v>
      </c>
      <c r="K129" s="10" t="s">
        <v>932</v>
      </c>
      <c r="L129" s="4"/>
      <c r="M129" s="4" t="s">
        <v>933</v>
      </c>
      <c r="N129" s="4"/>
      <c r="O129" s="4"/>
      <c r="P129" s="4"/>
      <c r="Q129" s="4"/>
      <c r="R129" s="4"/>
      <c r="S129" s="4"/>
    </row>
    <row r="130" spans="1:19" ht="172.5" x14ac:dyDescent="0.35">
      <c r="A130" s="4" t="s">
        <v>934</v>
      </c>
      <c r="B130" s="4" t="s">
        <v>935</v>
      </c>
      <c r="C130" s="4" t="s">
        <v>381</v>
      </c>
      <c r="D130" s="4" t="s">
        <v>936</v>
      </c>
      <c r="E130" s="4" t="s">
        <v>61</v>
      </c>
      <c r="F130" s="6" t="s">
        <v>117</v>
      </c>
      <c r="G130" s="5" t="s">
        <v>63</v>
      </c>
      <c r="H130" s="4" t="s">
        <v>24</v>
      </c>
      <c r="I130" s="4" t="s">
        <v>937</v>
      </c>
      <c r="J130" s="4" t="s">
        <v>938</v>
      </c>
      <c r="K130" s="10" t="s">
        <v>939</v>
      </c>
      <c r="L130" s="4"/>
      <c r="M130" s="4" t="s">
        <v>940</v>
      </c>
      <c r="N130" s="4"/>
      <c r="O130" s="4"/>
      <c r="P130" s="4"/>
      <c r="Q130" s="4"/>
      <c r="R130" s="4"/>
      <c r="S130" s="4"/>
    </row>
    <row r="131" spans="1:19" ht="276" x14ac:dyDescent="0.35">
      <c r="A131" s="4" t="s">
        <v>941</v>
      </c>
      <c r="B131" s="4" t="s">
        <v>942</v>
      </c>
      <c r="C131" s="4" t="s">
        <v>381</v>
      </c>
      <c r="D131" s="4" t="s">
        <v>943</v>
      </c>
      <c r="E131" s="4" t="s">
        <v>103</v>
      </c>
      <c r="F131" s="6" t="s">
        <v>117</v>
      </c>
      <c r="G131" s="5" t="s">
        <v>63</v>
      </c>
      <c r="H131" s="4" t="s">
        <v>24</v>
      </c>
      <c r="I131" s="4" t="s">
        <v>944</v>
      </c>
      <c r="J131" s="4" t="s">
        <v>945</v>
      </c>
      <c r="K131" s="10" t="s">
        <v>946</v>
      </c>
      <c r="L131" s="4"/>
      <c r="M131" s="4" t="s">
        <v>947</v>
      </c>
      <c r="N131" s="4"/>
      <c r="O131" s="4"/>
      <c r="P131" s="4"/>
      <c r="Q131" s="4"/>
      <c r="R131" s="4"/>
      <c r="S131" s="4"/>
    </row>
    <row r="132" spans="1:19" ht="184" x14ac:dyDescent="0.35">
      <c r="A132" s="4" t="s">
        <v>948</v>
      </c>
      <c r="B132" s="4" t="s">
        <v>949</v>
      </c>
      <c r="C132" s="4" t="s">
        <v>381</v>
      </c>
      <c r="D132" s="4" t="s">
        <v>950</v>
      </c>
      <c r="E132" s="4" t="s">
        <v>61</v>
      </c>
      <c r="F132" s="6" t="s">
        <v>117</v>
      </c>
      <c r="G132" s="5" t="s">
        <v>63</v>
      </c>
      <c r="H132" s="4" t="s">
        <v>24</v>
      </c>
      <c r="I132" s="4" t="s">
        <v>951</v>
      </c>
      <c r="J132" s="4" t="s">
        <v>952</v>
      </c>
      <c r="K132" s="10" t="s">
        <v>953</v>
      </c>
      <c r="L132" s="4"/>
      <c r="M132" s="4" t="s">
        <v>954</v>
      </c>
      <c r="N132" s="4"/>
      <c r="O132" s="4"/>
      <c r="P132" s="4"/>
      <c r="Q132" s="4"/>
      <c r="R132" s="4"/>
      <c r="S132" s="4"/>
    </row>
    <row r="133" spans="1:19" ht="161" x14ac:dyDescent="0.35">
      <c r="A133" s="4" t="s">
        <v>955</v>
      </c>
      <c r="B133" s="4" t="s">
        <v>956</v>
      </c>
      <c r="C133" s="4" t="s">
        <v>373</v>
      </c>
      <c r="D133" s="4" t="s">
        <v>957</v>
      </c>
      <c r="E133" s="4" t="s">
        <v>61</v>
      </c>
      <c r="F133" s="5" t="s">
        <v>62</v>
      </c>
      <c r="G133" s="5" t="s">
        <v>63</v>
      </c>
      <c r="H133" s="4" t="s">
        <v>24</v>
      </c>
      <c r="I133" s="4" t="s">
        <v>958</v>
      </c>
      <c r="J133" s="4" t="s">
        <v>959</v>
      </c>
      <c r="K133" s="10" t="s">
        <v>960</v>
      </c>
      <c r="L133" s="4"/>
      <c r="M133" s="4" t="s">
        <v>961</v>
      </c>
      <c r="N133" s="4"/>
      <c r="O133" s="4"/>
      <c r="P133" s="4"/>
      <c r="Q133" s="4"/>
      <c r="R133" s="4"/>
      <c r="S133" s="4"/>
    </row>
    <row r="134" spans="1:19" ht="207" x14ac:dyDescent="0.35">
      <c r="A134" s="4" t="s">
        <v>962</v>
      </c>
      <c r="B134" s="4" t="s">
        <v>963</v>
      </c>
      <c r="C134" s="4" t="s">
        <v>908</v>
      </c>
      <c r="D134" s="4" t="s">
        <v>964</v>
      </c>
      <c r="E134" s="4" t="s">
        <v>103</v>
      </c>
      <c r="F134" s="5" t="s">
        <v>62</v>
      </c>
      <c r="G134" s="5" t="s">
        <v>63</v>
      </c>
      <c r="H134" s="4" t="s">
        <v>24</v>
      </c>
      <c r="I134" s="4" t="s">
        <v>965</v>
      </c>
      <c r="J134" s="4" t="s">
        <v>966</v>
      </c>
      <c r="K134" s="10" t="s">
        <v>967</v>
      </c>
      <c r="L134" s="4"/>
      <c r="M134" s="4" t="s">
        <v>968</v>
      </c>
      <c r="N134" s="4"/>
      <c r="O134" s="4"/>
      <c r="P134" s="4"/>
      <c r="Q134" s="4"/>
      <c r="R134" s="4"/>
      <c r="S134" s="4"/>
    </row>
    <row r="135" spans="1:19" ht="184" x14ac:dyDescent="0.35">
      <c r="A135" s="4" t="s">
        <v>969</v>
      </c>
      <c r="B135" s="4" t="s">
        <v>963</v>
      </c>
      <c r="C135" s="4" t="s">
        <v>908</v>
      </c>
      <c r="D135" s="4" t="s">
        <v>964</v>
      </c>
      <c r="E135" s="4" t="s">
        <v>103</v>
      </c>
      <c r="F135" s="5" t="s">
        <v>62</v>
      </c>
      <c r="G135" s="5" t="s">
        <v>88</v>
      </c>
      <c r="H135" s="4" t="s">
        <v>24</v>
      </c>
      <c r="I135" s="4" t="s">
        <v>970</v>
      </c>
      <c r="J135" s="4" t="s">
        <v>971</v>
      </c>
      <c r="K135" s="10" t="s">
        <v>972</v>
      </c>
      <c r="L135" s="4"/>
      <c r="M135" s="4" t="s">
        <v>973</v>
      </c>
      <c r="N135" s="4"/>
      <c r="O135" s="4"/>
      <c r="P135" s="4"/>
      <c r="Q135" s="4"/>
      <c r="R135" s="4"/>
      <c r="S135" s="4"/>
    </row>
    <row r="136" spans="1:19" ht="184" x14ac:dyDescent="0.35">
      <c r="A136" s="4" t="s">
        <v>974</v>
      </c>
      <c r="B136" s="4" t="s">
        <v>975</v>
      </c>
      <c r="C136" s="4" t="s">
        <v>976</v>
      </c>
      <c r="D136" s="4" t="s">
        <v>977</v>
      </c>
      <c r="E136" s="4" t="s">
        <v>61</v>
      </c>
      <c r="F136" s="6" t="s">
        <v>117</v>
      </c>
      <c r="G136" s="5" t="s">
        <v>63</v>
      </c>
      <c r="H136" s="4" t="s">
        <v>24</v>
      </c>
      <c r="I136" s="4" t="s">
        <v>978</v>
      </c>
      <c r="J136" s="4" t="s">
        <v>979</v>
      </c>
      <c r="K136" s="10" t="s">
        <v>980</v>
      </c>
      <c r="L136" s="4"/>
      <c r="M136" s="4" t="s">
        <v>981</v>
      </c>
      <c r="N136" s="4"/>
      <c r="O136" s="4"/>
      <c r="P136" s="4"/>
      <c r="Q136" s="4"/>
      <c r="R136" s="4"/>
      <c r="S136" s="4"/>
    </row>
    <row r="137" spans="1:19" ht="172.5" x14ac:dyDescent="0.35">
      <c r="A137" s="4" t="s">
        <v>982</v>
      </c>
      <c r="B137" s="4" t="s">
        <v>983</v>
      </c>
      <c r="C137" s="4" t="s">
        <v>592</v>
      </c>
      <c r="D137" s="4" t="s">
        <v>984</v>
      </c>
      <c r="E137" s="4" t="s">
        <v>61</v>
      </c>
      <c r="F137" s="5" t="s">
        <v>62</v>
      </c>
      <c r="G137" s="5" t="s">
        <v>63</v>
      </c>
      <c r="H137" s="4" t="s">
        <v>24</v>
      </c>
      <c r="I137" s="4" t="s">
        <v>985</v>
      </c>
      <c r="J137" s="4" t="s">
        <v>986</v>
      </c>
      <c r="K137" s="10" t="s">
        <v>987</v>
      </c>
      <c r="L137" s="4"/>
      <c r="M137" s="4" t="s">
        <v>988</v>
      </c>
      <c r="N137" s="4"/>
      <c r="O137" s="4"/>
      <c r="P137" s="4"/>
      <c r="Q137" s="4"/>
      <c r="R137" s="4"/>
      <c r="S137" s="4"/>
    </row>
    <row r="138" spans="1:19" ht="161" x14ac:dyDescent="0.35">
      <c r="A138" s="4" t="s">
        <v>989</v>
      </c>
      <c r="B138" s="4" t="s">
        <v>990</v>
      </c>
      <c r="C138" s="4" t="s">
        <v>976</v>
      </c>
      <c r="D138" s="4" t="s">
        <v>991</v>
      </c>
      <c r="E138" s="4" t="s">
        <v>61</v>
      </c>
      <c r="F138" s="7" t="s">
        <v>338</v>
      </c>
      <c r="G138" s="5" t="s">
        <v>63</v>
      </c>
      <c r="H138" s="4" t="s">
        <v>26</v>
      </c>
      <c r="I138" s="4" t="s">
        <v>992</v>
      </c>
      <c r="J138" s="4" t="s">
        <v>993</v>
      </c>
      <c r="K138" s="10" t="s">
        <v>994</v>
      </c>
      <c r="L138" s="4"/>
      <c r="M138" s="4" t="s">
        <v>995</v>
      </c>
      <c r="N138" s="4"/>
      <c r="O138" s="4"/>
      <c r="P138" s="4"/>
      <c r="Q138" s="4"/>
      <c r="R138" s="4"/>
      <c r="S138" s="4"/>
    </row>
    <row r="139" spans="1:19" ht="161" x14ac:dyDescent="0.35">
      <c r="A139" s="4" t="s">
        <v>996</v>
      </c>
      <c r="B139" s="4" t="s">
        <v>997</v>
      </c>
      <c r="C139" s="4" t="s">
        <v>315</v>
      </c>
      <c r="D139" s="4" t="s">
        <v>998</v>
      </c>
      <c r="E139" s="4" t="s">
        <v>103</v>
      </c>
      <c r="F139" s="5" t="s">
        <v>62</v>
      </c>
      <c r="G139" s="5" t="s">
        <v>63</v>
      </c>
      <c r="H139" s="4" t="s">
        <v>24</v>
      </c>
      <c r="I139" s="4" t="s">
        <v>999</v>
      </c>
      <c r="J139" s="4" t="s">
        <v>1000</v>
      </c>
      <c r="K139" s="10" t="s">
        <v>1001</v>
      </c>
      <c r="L139" s="4"/>
      <c r="M139" s="4" t="s">
        <v>1002</v>
      </c>
      <c r="N139" s="4"/>
      <c r="O139" s="4"/>
      <c r="P139" s="4"/>
      <c r="Q139" s="4"/>
      <c r="R139" s="4"/>
      <c r="S139" s="4"/>
    </row>
    <row r="140" spans="1:19" ht="126.5" x14ac:dyDescent="0.35">
      <c r="A140" s="4" t="s">
        <v>1003</v>
      </c>
      <c r="B140" s="4" t="s">
        <v>997</v>
      </c>
      <c r="C140" s="4" t="s">
        <v>315</v>
      </c>
      <c r="D140" s="4" t="s">
        <v>998</v>
      </c>
      <c r="E140" s="4" t="s">
        <v>103</v>
      </c>
      <c r="F140" s="5" t="s">
        <v>62</v>
      </c>
      <c r="G140" s="5" t="s">
        <v>88</v>
      </c>
      <c r="H140" s="4" t="s">
        <v>24</v>
      </c>
      <c r="I140" s="4" t="s">
        <v>1004</v>
      </c>
      <c r="J140" s="4" t="s">
        <v>1005</v>
      </c>
      <c r="K140" s="10" t="s">
        <v>1006</v>
      </c>
      <c r="L140" s="4"/>
      <c r="M140" s="4" t="s">
        <v>1007</v>
      </c>
      <c r="N140" s="4"/>
      <c r="O140" s="4"/>
      <c r="P140" s="4"/>
      <c r="Q140" s="4"/>
      <c r="R140" s="4"/>
      <c r="S140" s="4"/>
    </row>
    <row r="141" spans="1:19" ht="115" x14ac:dyDescent="0.35">
      <c r="A141" s="4" t="s">
        <v>1008</v>
      </c>
      <c r="B141" s="4" t="s">
        <v>1009</v>
      </c>
      <c r="C141" s="4" t="s">
        <v>1010</v>
      </c>
      <c r="D141" s="4" t="s">
        <v>1011</v>
      </c>
      <c r="E141" s="4" t="s">
        <v>61</v>
      </c>
      <c r="F141" s="5" t="s">
        <v>62</v>
      </c>
      <c r="G141" s="5" t="s">
        <v>63</v>
      </c>
      <c r="H141" s="4" t="s">
        <v>24</v>
      </c>
      <c r="I141" s="4" t="s">
        <v>1012</v>
      </c>
      <c r="J141" s="4" t="s">
        <v>1013</v>
      </c>
      <c r="K141" s="10" t="s">
        <v>1014</v>
      </c>
      <c r="L141" s="4"/>
      <c r="M141" s="4" t="s">
        <v>1015</v>
      </c>
      <c r="N141" s="4"/>
      <c r="O141" s="4"/>
      <c r="P141" s="4"/>
      <c r="Q141" s="4"/>
      <c r="R141" s="4"/>
      <c r="S141" s="4"/>
    </row>
    <row r="142" spans="1:19" ht="126.5" x14ac:dyDescent="0.35">
      <c r="A142" s="4" t="s">
        <v>1016</v>
      </c>
      <c r="B142" s="4" t="s">
        <v>1017</v>
      </c>
      <c r="C142" s="4" t="s">
        <v>928</v>
      </c>
      <c r="D142" s="4" t="s">
        <v>1018</v>
      </c>
      <c r="E142" s="4" t="s">
        <v>61</v>
      </c>
      <c r="F142" s="7" t="s">
        <v>338</v>
      </c>
      <c r="G142" s="5" t="s">
        <v>63</v>
      </c>
      <c r="H142" s="4" t="s">
        <v>26</v>
      </c>
      <c r="I142" s="4" t="s">
        <v>1019</v>
      </c>
      <c r="J142" s="4" t="s">
        <v>1020</v>
      </c>
      <c r="K142" s="10" t="s">
        <v>1021</v>
      </c>
      <c r="L142" s="4"/>
      <c r="M142" s="4" t="s">
        <v>1022</v>
      </c>
      <c r="N142" s="4"/>
      <c r="O142" s="4"/>
      <c r="P142" s="4"/>
      <c r="Q142" s="4"/>
      <c r="R142" s="4"/>
      <c r="S142" s="4" t="s">
        <v>217</v>
      </c>
    </row>
    <row r="143" spans="1:19" ht="126.5" x14ac:dyDescent="0.35">
      <c r="A143" s="4" t="s">
        <v>1023</v>
      </c>
      <c r="B143" s="4" t="s">
        <v>1024</v>
      </c>
      <c r="C143" s="4" t="s">
        <v>192</v>
      </c>
      <c r="D143" s="4" t="s">
        <v>1025</v>
      </c>
      <c r="E143" s="4" t="s">
        <v>61</v>
      </c>
      <c r="F143" s="5" t="s">
        <v>62</v>
      </c>
      <c r="G143" s="5" t="s">
        <v>63</v>
      </c>
      <c r="H143" s="4" t="s">
        <v>24</v>
      </c>
      <c r="I143" s="4" t="s">
        <v>1026</v>
      </c>
      <c r="J143" s="4" t="s">
        <v>1027</v>
      </c>
      <c r="K143" s="10" t="s">
        <v>1028</v>
      </c>
      <c r="L143" s="4"/>
      <c r="M143" s="4" t="s">
        <v>1029</v>
      </c>
      <c r="N143" s="4"/>
      <c r="O143" s="4"/>
      <c r="P143" s="4"/>
      <c r="Q143" s="4"/>
      <c r="R143" s="4"/>
      <c r="S143" s="4"/>
    </row>
    <row r="144" spans="1:19" ht="126.5" x14ac:dyDescent="0.35">
      <c r="A144" s="4" t="s">
        <v>1030</v>
      </c>
      <c r="B144" s="4" t="s">
        <v>1031</v>
      </c>
      <c r="C144" s="4" t="s">
        <v>908</v>
      </c>
      <c r="D144" s="4" t="s">
        <v>1032</v>
      </c>
      <c r="E144" s="4" t="s">
        <v>103</v>
      </c>
      <c r="F144" s="5" t="s">
        <v>62</v>
      </c>
      <c r="G144" s="5" t="s">
        <v>63</v>
      </c>
      <c r="H144" s="4" t="s">
        <v>24</v>
      </c>
      <c r="I144" s="4" t="s">
        <v>1033</v>
      </c>
      <c r="J144" s="4" t="s">
        <v>1034</v>
      </c>
      <c r="K144" s="10" t="s">
        <v>1035</v>
      </c>
      <c r="L144" s="4"/>
      <c r="M144" s="4" t="s">
        <v>1036</v>
      </c>
      <c r="N144" s="4"/>
      <c r="O144" s="4"/>
      <c r="P144" s="4"/>
      <c r="Q144" s="4"/>
      <c r="R144" s="4"/>
      <c r="S144" s="4" t="s">
        <v>530</v>
      </c>
    </row>
    <row r="145" spans="1:19" ht="126.5" x14ac:dyDescent="0.35">
      <c r="A145" s="4" t="s">
        <v>1037</v>
      </c>
      <c r="B145" s="4" t="s">
        <v>1038</v>
      </c>
      <c r="C145" s="4" t="s">
        <v>928</v>
      </c>
      <c r="D145" s="4" t="s">
        <v>1039</v>
      </c>
      <c r="E145" s="4" t="s">
        <v>61</v>
      </c>
      <c r="F145" s="5" t="s">
        <v>62</v>
      </c>
      <c r="G145" s="5" t="s">
        <v>63</v>
      </c>
      <c r="H145" s="4" t="s">
        <v>24</v>
      </c>
      <c r="I145" s="4" t="s">
        <v>1040</v>
      </c>
      <c r="J145" s="4" t="s">
        <v>1041</v>
      </c>
      <c r="K145" s="10" t="s">
        <v>1042</v>
      </c>
      <c r="L145" s="4"/>
      <c r="M145" s="4" t="s">
        <v>1043</v>
      </c>
      <c r="N145" s="4"/>
      <c r="O145" s="4"/>
      <c r="P145" s="4"/>
      <c r="Q145" s="4"/>
      <c r="R145" s="4"/>
      <c r="S145" s="4"/>
    </row>
    <row r="146" spans="1:19" ht="103.5" x14ac:dyDescent="0.35">
      <c r="A146" s="4" t="s">
        <v>1044</v>
      </c>
      <c r="B146" s="4" t="s">
        <v>1045</v>
      </c>
      <c r="C146" s="4" t="s">
        <v>1010</v>
      </c>
      <c r="D146" s="4" t="s">
        <v>1046</v>
      </c>
      <c r="E146" s="4" t="s">
        <v>61</v>
      </c>
      <c r="F146" s="5" t="s">
        <v>62</v>
      </c>
      <c r="G146" s="5" t="s">
        <v>63</v>
      </c>
      <c r="H146" s="4" t="s">
        <v>24</v>
      </c>
      <c r="I146" s="4" t="s">
        <v>1047</v>
      </c>
      <c r="J146" s="4" t="s">
        <v>1048</v>
      </c>
      <c r="K146" s="10" t="s">
        <v>1049</v>
      </c>
      <c r="L146" s="4"/>
      <c r="M146" s="4" t="s">
        <v>1050</v>
      </c>
      <c r="N146" s="4"/>
      <c r="O146" s="4"/>
      <c r="P146" s="4"/>
      <c r="Q146" s="4"/>
      <c r="R146" s="4"/>
      <c r="S146" s="4"/>
    </row>
    <row r="147" spans="1:19" ht="126.5" x14ac:dyDescent="0.35">
      <c r="A147" s="4" t="s">
        <v>1051</v>
      </c>
      <c r="B147" s="4" t="s">
        <v>1045</v>
      </c>
      <c r="C147" s="4" t="s">
        <v>1010</v>
      </c>
      <c r="D147" s="4" t="s">
        <v>1046</v>
      </c>
      <c r="E147" s="4" t="s">
        <v>61</v>
      </c>
      <c r="F147" s="5" t="s">
        <v>62</v>
      </c>
      <c r="G147" s="5" t="s">
        <v>88</v>
      </c>
      <c r="H147" s="4" t="s">
        <v>24</v>
      </c>
      <c r="I147" s="4" t="s">
        <v>1052</v>
      </c>
      <c r="J147" s="4" t="s">
        <v>1048</v>
      </c>
      <c r="K147" s="10" t="s">
        <v>1053</v>
      </c>
      <c r="L147" s="4"/>
      <c r="M147" s="4" t="s">
        <v>1050</v>
      </c>
      <c r="N147" s="4"/>
      <c r="O147" s="4"/>
      <c r="P147" s="4"/>
      <c r="Q147" s="4"/>
      <c r="R147" s="4"/>
      <c r="S147" s="4"/>
    </row>
    <row r="148" spans="1:19" ht="126.5" x14ac:dyDescent="0.35">
      <c r="A148" s="4" t="s">
        <v>1054</v>
      </c>
      <c r="B148" s="4" t="s">
        <v>1055</v>
      </c>
      <c r="C148" s="4" t="s">
        <v>908</v>
      </c>
      <c r="D148" s="4" t="s">
        <v>1056</v>
      </c>
      <c r="E148" s="4" t="s">
        <v>103</v>
      </c>
      <c r="F148" s="5" t="s">
        <v>62</v>
      </c>
      <c r="G148" s="5" t="s">
        <v>63</v>
      </c>
      <c r="H148" s="4" t="s">
        <v>24</v>
      </c>
      <c r="I148" s="4" t="s">
        <v>1057</v>
      </c>
      <c r="J148" s="4" t="s">
        <v>1058</v>
      </c>
      <c r="K148" s="10" t="s">
        <v>1059</v>
      </c>
      <c r="L148" s="4"/>
      <c r="M148" s="4" t="s">
        <v>1060</v>
      </c>
      <c r="N148" s="4"/>
      <c r="O148" s="4"/>
      <c r="P148" s="4"/>
      <c r="Q148" s="4"/>
      <c r="R148" s="4"/>
      <c r="S148" s="4"/>
    </row>
    <row r="149" spans="1:19" ht="126.5" x14ac:dyDescent="0.35">
      <c r="A149" s="4" t="s">
        <v>1061</v>
      </c>
      <c r="B149" s="4" t="s">
        <v>1062</v>
      </c>
      <c r="C149" s="4" t="s">
        <v>908</v>
      </c>
      <c r="D149" s="4" t="s">
        <v>1063</v>
      </c>
      <c r="E149" s="4" t="s">
        <v>103</v>
      </c>
      <c r="F149" s="5" t="s">
        <v>62</v>
      </c>
      <c r="G149" s="5" t="s">
        <v>63</v>
      </c>
      <c r="H149" s="4" t="s">
        <v>24</v>
      </c>
      <c r="I149" s="4" t="s">
        <v>1064</v>
      </c>
      <c r="J149" s="4" t="s">
        <v>1065</v>
      </c>
      <c r="K149" s="10" t="s">
        <v>1066</v>
      </c>
      <c r="L149" s="4"/>
      <c r="M149" s="4" t="s">
        <v>1067</v>
      </c>
      <c r="N149" s="4"/>
      <c r="O149" s="4"/>
      <c r="P149" s="4"/>
      <c r="Q149" s="4"/>
      <c r="R149" s="4"/>
      <c r="S149" s="4"/>
    </row>
    <row r="150" spans="1:19" ht="138" x14ac:dyDescent="0.35">
      <c r="A150" s="4" t="s">
        <v>1068</v>
      </c>
      <c r="B150" s="4" t="s">
        <v>1062</v>
      </c>
      <c r="C150" s="4" t="s">
        <v>908</v>
      </c>
      <c r="D150" s="4" t="s">
        <v>1063</v>
      </c>
      <c r="E150" s="4" t="s">
        <v>103</v>
      </c>
      <c r="F150" s="5" t="s">
        <v>62</v>
      </c>
      <c r="G150" s="5" t="s">
        <v>63</v>
      </c>
      <c r="H150" s="4" t="s">
        <v>24</v>
      </c>
      <c r="I150" s="4" t="s">
        <v>1069</v>
      </c>
      <c r="J150" s="4" t="s">
        <v>1070</v>
      </c>
      <c r="K150" s="10" t="s">
        <v>1071</v>
      </c>
      <c r="L150" s="4"/>
      <c r="M150" s="4" t="s">
        <v>1072</v>
      </c>
      <c r="N150" s="4"/>
      <c r="O150" s="4"/>
      <c r="P150" s="4"/>
      <c r="Q150" s="4"/>
      <c r="R150" s="4"/>
      <c r="S150" s="4"/>
    </row>
    <row r="151" spans="1:19" ht="149.5" x14ac:dyDescent="0.35">
      <c r="A151" s="4" t="s">
        <v>1073</v>
      </c>
      <c r="B151" s="4" t="s">
        <v>1074</v>
      </c>
      <c r="C151" s="4" t="s">
        <v>908</v>
      </c>
      <c r="D151" s="4" t="s">
        <v>1075</v>
      </c>
      <c r="E151" s="4" t="s">
        <v>103</v>
      </c>
      <c r="F151" s="5" t="s">
        <v>62</v>
      </c>
      <c r="G151" s="5" t="s">
        <v>88</v>
      </c>
      <c r="H151" s="4" t="s">
        <v>24</v>
      </c>
      <c r="I151" s="4" t="s">
        <v>1076</v>
      </c>
      <c r="J151" s="4" t="s">
        <v>1077</v>
      </c>
      <c r="K151" s="10" t="s">
        <v>1078</v>
      </c>
      <c r="L151" s="4"/>
      <c r="M151" s="4" t="s">
        <v>1079</v>
      </c>
      <c r="N151" s="4"/>
      <c r="O151" s="4"/>
      <c r="P151" s="4"/>
      <c r="Q151" s="4"/>
      <c r="R151" s="4"/>
      <c r="S151" s="4"/>
    </row>
    <row r="152" spans="1:19" ht="207" x14ac:dyDescent="0.35">
      <c r="A152" s="4" t="s">
        <v>1080</v>
      </c>
      <c r="B152" s="4" t="s">
        <v>1081</v>
      </c>
      <c r="C152" s="4" t="s">
        <v>315</v>
      </c>
      <c r="D152" s="4" t="s">
        <v>1082</v>
      </c>
      <c r="E152" s="4" t="s">
        <v>103</v>
      </c>
      <c r="F152" s="5" t="s">
        <v>62</v>
      </c>
      <c r="G152" s="5" t="s">
        <v>63</v>
      </c>
      <c r="H152" s="4" t="s">
        <v>24</v>
      </c>
      <c r="I152" s="4" t="s">
        <v>1083</v>
      </c>
      <c r="J152" s="4" t="s">
        <v>1084</v>
      </c>
      <c r="K152" s="10" t="s">
        <v>1085</v>
      </c>
      <c r="L152" s="4"/>
      <c r="M152" s="4" t="s">
        <v>1086</v>
      </c>
      <c r="N152" s="4"/>
      <c r="O152" s="4"/>
      <c r="P152" s="4"/>
      <c r="Q152" s="4"/>
      <c r="R152" s="4"/>
      <c r="S152" s="4"/>
    </row>
    <row r="153" spans="1:19" ht="161" x14ac:dyDescent="0.35">
      <c r="A153" s="4" t="s">
        <v>1087</v>
      </c>
      <c r="B153" s="4" t="s">
        <v>1088</v>
      </c>
      <c r="C153" s="4" t="s">
        <v>315</v>
      </c>
      <c r="D153" s="4" t="s">
        <v>1089</v>
      </c>
      <c r="E153" s="4" t="s">
        <v>103</v>
      </c>
      <c r="F153" s="5" t="s">
        <v>62</v>
      </c>
      <c r="G153" s="5" t="s">
        <v>63</v>
      </c>
      <c r="H153" s="4" t="s">
        <v>24</v>
      </c>
      <c r="I153" s="4" t="s">
        <v>1090</v>
      </c>
      <c r="J153" s="4" t="s">
        <v>1084</v>
      </c>
      <c r="K153" s="10" t="s">
        <v>1091</v>
      </c>
      <c r="L153" s="4"/>
      <c r="M153" s="4" t="s">
        <v>1092</v>
      </c>
      <c r="N153" s="4"/>
      <c r="O153" s="4"/>
      <c r="P153" s="4"/>
      <c r="Q153" s="4"/>
      <c r="R153" s="4"/>
      <c r="S153" s="4"/>
    </row>
    <row r="154" spans="1:19" ht="207" x14ac:dyDescent="0.35">
      <c r="A154" s="4" t="s">
        <v>1093</v>
      </c>
      <c r="B154" s="4" t="s">
        <v>1094</v>
      </c>
      <c r="C154" s="4" t="s">
        <v>315</v>
      </c>
      <c r="D154" s="4" t="s">
        <v>1095</v>
      </c>
      <c r="E154" s="4" t="s">
        <v>103</v>
      </c>
      <c r="F154" s="5" t="s">
        <v>62</v>
      </c>
      <c r="G154" s="5" t="s">
        <v>63</v>
      </c>
      <c r="H154" s="4" t="s">
        <v>24</v>
      </c>
      <c r="I154" s="4" t="s">
        <v>1096</v>
      </c>
      <c r="J154" s="4" t="s">
        <v>1097</v>
      </c>
      <c r="K154" s="10" t="s">
        <v>1098</v>
      </c>
      <c r="L154" s="4"/>
      <c r="M154" s="4" t="s">
        <v>1099</v>
      </c>
      <c r="N154" s="4"/>
      <c r="O154" s="4"/>
      <c r="P154" s="4"/>
      <c r="Q154" s="4"/>
      <c r="R154" s="4"/>
      <c r="S154" s="4" t="s">
        <v>1100</v>
      </c>
    </row>
    <row r="155" spans="1:19" ht="184" x14ac:dyDescent="0.35">
      <c r="A155" s="4" t="s">
        <v>1101</v>
      </c>
      <c r="B155" s="4" t="s">
        <v>1102</v>
      </c>
      <c r="C155" s="4" t="s">
        <v>592</v>
      </c>
      <c r="D155" s="4" t="s">
        <v>1103</v>
      </c>
      <c r="E155" s="4" t="s">
        <v>103</v>
      </c>
      <c r="F155" s="5" t="s">
        <v>62</v>
      </c>
      <c r="G155" s="5" t="s">
        <v>63</v>
      </c>
      <c r="H155" s="4" t="s">
        <v>24</v>
      </c>
      <c r="I155" s="4" t="s">
        <v>1104</v>
      </c>
      <c r="J155" s="4" t="s">
        <v>1105</v>
      </c>
      <c r="K155" s="10" t="s">
        <v>1106</v>
      </c>
      <c r="L155" s="4"/>
      <c r="M155" s="4" t="s">
        <v>1107</v>
      </c>
      <c r="N155" s="4"/>
      <c r="O155" s="4"/>
      <c r="P155" s="4"/>
      <c r="Q155" s="4"/>
      <c r="R155" s="4"/>
      <c r="S155" s="4"/>
    </row>
  </sheetData>
  <mergeCells count="2">
    <mergeCell ref="A1:S1"/>
    <mergeCell ref="A2:S2"/>
  </mergeCells>
  <phoneticPr fontId="10"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8"/>
  <sheetViews>
    <sheetView showGridLines="0" zoomScaleNormal="100" workbookViewId="0">
      <selection activeCell="L3" sqref="L3"/>
    </sheetView>
  </sheetViews>
  <sheetFormatPr defaultColWidth="8.54296875" defaultRowHeight="14.5" x14ac:dyDescent="0.35"/>
  <cols>
    <col min="1" max="1" width="26" customWidth="1"/>
    <col min="2" max="2" width="14" customWidth="1"/>
    <col min="3" max="3" width="10" customWidth="1"/>
    <col min="4" max="4" width="14" customWidth="1"/>
    <col min="5" max="5" width="10" customWidth="1"/>
    <col min="6" max="7" width="12" customWidth="1"/>
    <col min="8" max="8" width="10" customWidth="1"/>
  </cols>
  <sheetData>
    <row r="1" spans="1:8" ht="21.75" customHeight="1" x14ac:dyDescent="0.35">
      <c r="A1" s="14" t="s">
        <v>1108</v>
      </c>
      <c r="B1" s="14"/>
      <c r="C1" s="14"/>
      <c r="D1" s="14"/>
      <c r="E1" s="14"/>
      <c r="F1" s="14"/>
      <c r="G1" s="14"/>
      <c r="H1" s="14"/>
    </row>
    <row r="3" spans="1:8" x14ac:dyDescent="0.35">
      <c r="A3" s="1" t="s">
        <v>1109</v>
      </c>
      <c r="B3" s="2">
        <f>COUNTA('Test Script Register'!$A$4:$A$155)</f>
        <v>152</v>
      </c>
    </row>
    <row r="4" spans="1:8" x14ac:dyDescent="0.35">
      <c r="A4" s="1" t="s">
        <v>1110</v>
      </c>
      <c r="B4" s="2">
        <f>COUNTA('Test Script Register'!$O$4:$O$155)</f>
        <v>0</v>
      </c>
    </row>
    <row r="5" spans="1:8" x14ac:dyDescent="0.35">
      <c r="A5" s="1" t="s">
        <v>1111</v>
      </c>
      <c r="B5" s="2">
        <f>COUNTIF('Test Script Register'!$O$4:$O$155,"Pass")</f>
        <v>0</v>
      </c>
    </row>
    <row r="6" spans="1:8" x14ac:dyDescent="0.35">
      <c r="A6" s="1" t="s">
        <v>1112</v>
      </c>
      <c r="B6" s="2">
        <f>COUNTIF('Test Script Register'!$O$4:$O$155,"Fail")</f>
        <v>0</v>
      </c>
    </row>
    <row r="8" spans="1:8" x14ac:dyDescent="0.35">
      <c r="A8" s="21" t="s">
        <v>1113</v>
      </c>
      <c r="B8" s="21"/>
      <c r="C8" s="21"/>
      <c r="D8" s="21"/>
      <c r="E8" s="21"/>
      <c r="F8" s="21"/>
      <c r="G8" s="21"/>
      <c r="H8" s="21"/>
    </row>
    <row r="9" spans="1:8" x14ac:dyDescent="0.35">
      <c r="A9" s="8" t="s">
        <v>43</v>
      </c>
      <c r="B9" s="8" t="s">
        <v>1114</v>
      </c>
      <c r="C9" s="8" t="s">
        <v>1115</v>
      </c>
      <c r="D9" s="8" t="s">
        <v>1116</v>
      </c>
      <c r="E9" s="8" t="s">
        <v>1117</v>
      </c>
    </row>
    <row r="10" spans="1:8" x14ac:dyDescent="0.35">
      <c r="A10" s="9" t="s">
        <v>62</v>
      </c>
      <c r="B10" s="9">
        <f>COUNTIF('Test Script Register'!$F$4:$F$155,"FIT")</f>
        <v>133</v>
      </c>
      <c r="C10" s="9">
        <f>COUNTIFS('Test Script Register'!$F$4:$F$155,"FIT",'Test Script Register'!$H$4:$H$155,"Yes")</f>
        <v>133</v>
      </c>
      <c r="D10" s="9">
        <f>COUNTIFS('Test Script Register'!$F$4:$F$155,"FIT",'Test Script Register'!$H$4:$H$155,"Conditional")</f>
        <v>0</v>
      </c>
      <c r="E10" s="9">
        <f>COUNTIFS('Test Script Register'!$F$4:$F$155,"FIT",'Test Script Register'!$H$4:$H$155,"No")</f>
        <v>0</v>
      </c>
    </row>
    <row r="11" spans="1:8" x14ac:dyDescent="0.35">
      <c r="A11" s="9" t="s">
        <v>117</v>
      </c>
      <c r="B11" s="9">
        <f>COUNTIF('Test Script Register'!$F$4:$F$155,"PARTIAL FIT")</f>
        <v>14</v>
      </c>
      <c r="C11" s="9">
        <f>COUNTIFS('Test Script Register'!$F$4:$F$155,"PARTIAL FIT",'Test Script Register'!$H$4:$H$155,"Yes")</f>
        <v>14</v>
      </c>
      <c r="D11" s="9">
        <f>COUNTIFS('Test Script Register'!$F$4:$F$155,"PARTIAL FIT",'Test Script Register'!$H$4:$H$155,"Conditional")</f>
        <v>0</v>
      </c>
      <c r="E11" s="9">
        <f>COUNTIFS('Test Script Register'!$F$4:$F$155,"PARTIAL FIT",'Test Script Register'!$H$4:$H$155,"No")</f>
        <v>0</v>
      </c>
    </row>
    <row r="12" spans="1:8" x14ac:dyDescent="0.35">
      <c r="A12" s="9" t="s">
        <v>338</v>
      </c>
      <c r="B12" s="9">
        <f>COUNTIF('Test Script Register'!$F$4:$F$155,"GAP")</f>
        <v>5</v>
      </c>
      <c r="C12" s="9">
        <f>COUNTIFS('Test Script Register'!$F$4:$F$155,"GAP",'Test Script Register'!$H$4:$H$155,"Yes")</f>
        <v>0</v>
      </c>
      <c r="D12" s="9">
        <f>COUNTIFS('Test Script Register'!$F$4:$F$155,"GAP",'Test Script Register'!$H$4:$H$155,"Conditional")</f>
        <v>5</v>
      </c>
      <c r="E12" s="9">
        <f>COUNTIFS('Test Script Register'!$F$4:$F$155,"GAP",'Test Script Register'!$H$4:$H$155,"No")</f>
        <v>0</v>
      </c>
    </row>
    <row r="13" spans="1:8" x14ac:dyDescent="0.35">
      <c r="A13" s="9" t="s">
        <v>1118</v>
      </c>
      <c r="B13" s="9">
        <f>COUNTIF('Test Script Register'!$F$4:$F$155,"OUT OF SCOPE")</f>
        <v>0</v>
      </c>
      <c r="C13" s="9">
        <f>COUNTIFS('Test Script Register'!$F$4:$F$155,"OUT OF SCOPE",'Test Script Register'!$H$4:$H$155,"Yes")</f>
        <v>0</v>
      </c>
      <c r="D13" s="9">
        <f>COUNTIFS('Test Script Register'!$F$4:$F$155,"OUT OF SCOPE",'Test Script Register'!$H$4:$H$155,"Conditional")</f>
        <v>0</v>
      </c>
      <c r="E13" s="9">
        <f>COUNTIFS('Test Script Register'!$F$4:$F$155,"OUT OF SCOPE",'Test Script Register'!$H$4:$H$155,"No")</f>
        <v>0</v>
      </c>
    </row>
    <row r="15" spans="1:8" x14ac:dyDescent="0.35">
      <c r="A15" s="21" t="s">
        <v>1119</v>
      </c>
      <c r="B15" s="21"/>
      <c r="C15" s="21"/>
      <c r="D15" s="21"/>
      <c r="E15" s="21"/>
      <c r="F15" s="21"/>
      <c r="G15" s="21"/>
      <c r="H15" s="21"/>
    </row>
    <row r="16" spans="1:8" x14ac:dyDescent="0.35">
      <c r="A16" s="8" t="s">
        <v>1120</v>
      </c>
      <c r="B16" s="8" t="s">
        <v>1121</v>
      </c>
      <c r="C16" s="8" t="s">
        <v>62</v>
      </c>
      <c r="D16" s="8" t="s">
        <v>117</v>
      </c>
      <c r="E16" s="8" t="s">
        <v>338</v>
      </c>
      <c r="F16" s="8" t="s">
        <v>1122</v>
      </c>
      <c r="G16" s="8" t="s">
        <v>1123</v>
      </c>
      <c r="H16" s="8" t="s">
        <v>1124</v>
      </c>
    </row>
    <row r="17" spans="1:8" x14ac:dyDescent="0.35">
      <c r="A17" s="9" t="s">
        <v>928</v>
      </c>
      <c r="B17" s="9">
        <f>COUNTIF('Test Script Register'!$C$4:$C$155,"AI Agents")</f>
        <v>3</v>
      </c>
      <c r="C17" s="9">
        <f>COUNTIFS('Test Script Register'!$C$4:$C$155,"AI Agents",'Test Script Register'!$F$4:$F$155,"FIT")</f>
        <v>1</v>
      </c>
      <c r="D17" s="9">
        <f>COUNTIFS('Test Script Register'!$C$4:$C$155,"AI Agents",'Test Script Register'!$F$4:$F$155,"PARTIAL FIT")</f>
        <v>0</v>
      </c>
      <c r="E17" s="9">
        <f>COUNTIFS('Test Script Register'!$C$4:$C$155,"AI Agents",'Test Script Register'!$F$4:$F$155,"GAP")</f>
        <v>2</v>
      </c>
      <c r="F17" s="9">
        <f>COUNTIFS('Test Script Register'!$C$4:$C$155,"AI Agents",'Test Script Register'!$F$4:$F$155,"OUT OF SCOPE")</f>
        <v>0</v>
      </c>
      <c r="G17" s="9">
        <f>COUNTIFS('Test Script Register'!$C$4:$C$155,"AI Agents",'Test Script Register'!$O$4:$O$155,"&lt;&gt;")</f>
        <v>0</v>
      </c>
      <c r="H17" s="9">
        <f>COUNTIFS('Test Script Register'!$C$4:$C$155,"AI Agents",'Test Script Register'!$O$4:$O$155,"Pass")</f>
        <v>0</v>
      </c>
    </row>
    <row r="18" spans="1:8" x14ac:dyDescent="0.35">
      <c r="A18" s="9" t="s">
        <v>373</v>
      </c>
      <c r="B18" s="9">
        <f>COUNTIF('Test Script Register'!$C$4:$C$155,"Candidate Experience")</f>
        <v>13</v>
      </c>
      <c r="C18" s="9">
        <f>COUNTIFS('Test Script Register'!$C$4:$C$155,"Candidate Experience",'Test Script Register'!$F$4:$F$155,"FIT")</f>
        <v>13</v>
      </c>
      <c r="D18" s="9">
        <f>COUNTIFS('Test Script Register'!$C$4:$C$155,"Candidate Experience",'Test Script Register'!$F$4:$F$155,"PARTIAL FIT")</f>
        <v>0</v>
      </c>
      <c r="E18" s="9">
        <f>COUNTIFS('Test Script Register'!$C$4:$C$155,"Candidate Experience",'Test Script Register'!$F$4:$F$155,"GAP")</f>
        <v>0</v>
      </c>
      <c r="F18" s="9">
        <f>COUNTIFS('Test Script Register'!$C$4:$C$155,"Candidate Experience",'Test Script Register'!$F$4:$F$155,"OUT OF SCOPE")</f>
        <v>0</v>
      </c>
      <c r="G18" s="9">
        <f>COUNTIFS('Test Script Register'!$C$4:$C$155,"Candidate Experience",'Test Script Register'!$O$4:$O$155,"&lt;&gt;")</f>
        <v>0</v>
      </c>
      <c r="H18" s="9">
        <f>COUNTIFS('Test Script Register'!$C$4:$C$155,"Candidate Experience",'Test Script Register'!$O$4:$O$155,"Pass")</f>
        <v>0</v>
      </c>
    </row>
    <row r="19" spans="1:8" x14ac:dyDescent="0.35">
      <c r="A19" s="9" t="s">
        <v>592</v>
      </c>
      <c r="B19" s="9">
        <f>COUNTIF('Test Script Register'!$C$4:$C$155,"Candidate Selection Process")</f>
        <v>25</v>
      </c>
      <c r="C19" s="9">
        <f>COUNTIFS('Test Script Register'!$C$4:$C$155,"Candidate Selection Process",'Test Script Register'!$F$4:$F$155,"FIT")</f>
        <v>23</v>
      </c>
      <c r="D19" s="9">
        <f>COUNTIFS('Test Script Register'!$C$4:$C$155,"Candidate Selection Process",'Test Script Register'!$F$4:$F$155,"PARTIAL FIT")</f>
        <v>2</v>
      </c>
      <c r="E19" s="9">
        <f>COUNTIFS('Test Script Register'!$C$4:$C$155,"Candidate Selection Process",'Test Script Register'!$F$4:$F$155,"GAP")</f>
        <v>0</v>
      </c>
      <c r="F19" s="9">
        <f>COUNTIFS('Test Script Register'!$C$4:$C$155,"Candidate Selection Process",'Test Script Register'!$F$4:$F$155,"OUT OF SCOPE")</f>
        <v>0</v>
      </c>
      <c r="G19" s="9">
        <f>COUNTIFS('Test Script Register'!$C$4:$C$155,"Candidate Selection Process",'Test Script Register'!$O$4:$O$155,"&lt;&gt;")</f>
        <v>0</v>
      </c>
      <c r="H19" s="9">
        <f>COUNTIFS('Test Script Register'!$C$4:$C$155,"Candidate Selection Process",'Test Script Register'!$O$4:$O$155,"Pass")</f>
        <v>0</v>
      </c>
    </row>
    <row r="20" spans="1:8" x14ac:dyDescent="0.35">
      <c r="A20" s="9" t="s">
        <v>59</v>
      </c>
      <c r="B20" s="9">
        <f>COUNTIF('Test Script Register'!$C$4:$C$155,"Employee Referral")</f>
        <v>21</v>
      </c>
      <c r="C20" s="9">
        <f>COUNTIFS('Test Script Register'!$C$4:$C$155,"Employee Referral",'Test Script Register'!$F$4:$F$155,"FIT")</f>
        <v>19</v>
      </c>
      <c r="D20" s="9">
        <f>COUNTIFS('Test Script Register'!$C$4:$C$155,"Employee Referral",'Test Script Register'!$F$4:$F$155,"PARTIAL FIT")</f>
        <v>2</v>
      </c>
      <c r="E20" s="9">
        <f>COUNTIFS('Test Script Register'!$C$4:$C$155,"Employee Referral",'Test Script Register'!$F$4:$F$155,"GAP")</f>
        <v>0</v>
      </c>
      <c r="F20" s="9">
        <f>COUNTIFS('Test Script Register'!$C$4:$C$155,"Employee Referral",'Test Script Register'!$F$4:$F$155,"OUT OF SCOPE")</f>
        <v>0</v>
      </c>
      <c r="G20" s="9">
        <f>COUNTIFS('Test Script Register'!$C$4:$C$155,"Employee Referral",'Test Script Register'!$O$4:$O$155,"&lt;&gt;")</f>
        <v>0</v>
      </c>
      <c r="H20" s="9">
        <f>COUNTIFS('Test Script Register'!$C$4:$C$155,"Employee Referral",'Test Script Register'!$O$4:$O$155,"Pass")</f>
        <v>0</v>
      </c>
    </row>
    <row r="21" spans="1:8" x14ac:dyDescent="0.35">
      <c r="A21" s="9" t="s">
        <v>381</v>
      </c>
      <c r="B21" s="9">
        <f>COUNTIF('Test Script Register'!$C$4:$C$155,"Integration")</f>
        <v>9</v>
      </c>
      <c r="C21" s="9">
        <f>COUNTIFS('Test Script Register'!$C$4:$C$155,"Integration",'Test Script Register'!$F$4:$F$155,"FIT")</f>
        <v>3</v>
      </c>
      <c r="D21" s="9">
        <f>COUNTIFS('Test Script Register'!$C$4:$C$155,"Integration",'Test Script Register'!$F$4:$F$155,"PARTIAL FIT")</f>
        <v>5</v>
      </c>
      <c r="E21" s="9">
        <f>COUNTIFS('Test Script Register'!$C$4:$C$155,"Integration",'Test Script Register'!$F$4:$F$155,"GAP")</f>
        <v>1</v>
      </c>
      <c r="F21" s="9">
        <f>COUNTIFS('Test Script Register'!$C$4:$C$155,"Integration",'Test Script Register'!$F$4:$F$155,"OUT OF SCOPE")</f>
        <v>0</v>
      </c>
      <c r="G21" s="9">
        <f>COUNTIFS('Test Script Register'!$C$4:$C$155,"Integration",'Test Script Register'!$O$4:$O$155,"&lt;&gt;")</f>
        <v>0</v>
      </c>
      <c r="H21" s="9">
        <f>COUNTIFS('Test Script Register'!$C$4:$C$155,"Integration",'Test Script Register'!$O$4:$O$155,"Pass")</f>
        <v>0</v>
      </c>
    </row>
    <row r="22" spans="1:8" x14ac:dyDescent="0.35">
      <c r="A22" s="9" t="s">
        <v>265</v>
      </c>
      <c r="B22" s="9">
        <f>COUNTIF('Test Script Register'!$C$4:$C$155,"Interview Management")</f>
        <v>9</v>
      </c>
      <c r="C22" s="9">
        <f>COUNTIFS('Test Script Register'!$C$4:$C$155,"Interview Management",'Test Script Register'!$F$4:$F$155,"FIT")</f>
        <v>7</v>
      </c>
      <c r="D22" s="9">
        <f>COUNTIFS('Test Script Register'!$C$4:$C$155,"Interview Management",'Test Script Register'!$F$4:$F$155,"PARTIAL FIT")</f>
        <v>2</v>
      </c>
      <c r="E22" s="9">
        <f>COUNTIFS('Test Script Register'!$C$4:$C$155,"Interview Management",'Test Script Register'!$F$4:$F$155,"GAP")</f>
        <v>0</v>
      </c>
      <c r="F22" s="9">
        <f>COUNTIFS('Test Script Register'!$C$4:$C$155,"Interview Management",'Test Script Register'!$F$4:$F$155,"OUT OF SCOPE")</f>
        <v>0</v>
      </c>
      <c r="G22" s="9">
        <f>COUNTIFS('Test Script Register'!$C$4:$C$155,"Interview Management",'Test Script Register'!$O$4:$O$155,"&lt;&gt;")</f>
        <v>0</v>
      </c>
      <c r="H22" s="9">
        <f>COUNTIFS('Test Script Register'!$C$4:$C$155,"Interview Management",'Test Script Register'!$O$4:$O$155,"Pass")</f>
        <v>0</v>
      </c>
    </row>
    <row r="23" spans="1:8" x14ac:dyDescent="0.35">
      <c r="A23" s="9" t="s">
        <v>315</v>
      </c>
      <c r="B23" s="9">
        <f>COUNTIF('Test Script Register'!$C$4:$C$155,"Job Offer")</f>
        <v>26</v>
      </c>
      <c r="C23" s="9">
        <f>COUNTIFS('Test Script Register'!$C$4:$C$155,"Job Offer",'Test Script Register'!$F$4:$F$155,"FIT")</f>
        <v>24</v>
      </c>
      <c r="D23" s="9">
        <f>COUNTIFS('Test Script Register'!$C$4:$C$155,"Job Offer",'Test Script Register'!$F$4:$F$155,"PARTIAL FIT")</f>
        <v>2</v>
      </c>
      <c r="E23" s="9">
        <f>COUNTIFS('Test Script Register'!$C$4:$C$155,"Job Offer",'Test Script Register'!$F$4:$F$155,"GAP")</f>
        <v>0</v>
      </c>
      <c r="F23" s="9">
        <f>COUNTIFS('Test Script Register'!$C$4:$C$155,"Job Offer",'Test Script Register'!$F$4:$F$155,"OUT OF SCOPE")</f>
        <v>0</v>
      </c>
      <c r="G23" s="9">
        <f>COUNTIFS('Test Script Register'!$C$4:$C$155,"Job Offer",'Test Script Register'!$O$4:$O$155,"&lt;&gt;")</f>
        <v>0</v>
      </c>
      <c r="H23" s="9">
        <f>COUNTIFS('Test Script Register'!$C$4:$C$155,"Job Offer",'Test Script Register'!$O$4:$O$155,"Pass")</f>
        <v>0</v>
      </c>
    </row>
    <row r="24" spans="1:8" x14ac:dyDescent="0.35">
      <c r="A24" s="9" t="s">
        <v>192</v>
      </c>
      <c r="B24" s="9">
        <f>COUNTIF('Test Script Register'!$C$4:$C$155,"Job Requisition")</f>
        <v>32</v>
      </c>
      <c r="C24" s="9">
        <f>COUNTIFS('Test Script Register'!$C$4:$C$155,"Job Requisition",'Test Script Register'!$F$4:$F$155,"FIT")</f>
        <v>31</v>
      </c>
      <c r="D24" s="9">
        <f>COUNTIFS('Test Script Register'!$C$4:$C$155,"Job Requisition",'Test Script Register'!$F$4:$F$155,"PARTIAL FIT")</f>
        <v>0</v>
      </c>
      <c r="E24" s="9">
        <f>COUNTIFS('Test Script Register'!$C$4:$C$155,"Job Requisition",'Test Script Register'!$F$4:$F$155,"GAP")</f>
        <v>1</v>
      </c>
      <c r="F24" s="9">
        <f>COUNTIFS('Test Script Register'!$C$4:$C$155,"Job Requisition",'Test Script Register'!$F$4:$F$155,"OUT OF SCOPE")</f>
        <v>0</v>
      </c>
      <c r="G24" s="9">
        <f>COUNTIFS('Test Script Register'!$C$4:$C$155,"Job Requisition",'Test Script Register'!$O$4:$O$155,"&lt;&gt;")</f>
        <v>0</v>
      </c>
      <c r="H24" s="9">
        <f>COUNTIFS('Test Script Register'!$C$4:$C$155,"Job Requisition",'Test Script Register'!$O$4:$O$155,"Pass")</f>
        <v>0</v>
      </c>
    </row>
    <row r="25" spans="1:8" x14ac:dyDescent="0.35">
      <c r="A25" s="9" t="s">
        <v>1125</v>
      </c>
      <c r="B25" s="9">
        <f>COUNTIF('Test Script Register'!$C$4:$C$155,"Journeys")</f>
        <v>0</v>
      </c>
      <c r="C25" s="9">
        <f>COUNTIFS('Test Script Register'!$C$4:$C$155,"Journeys",'Test Script Register'!$F$4:$F$155,"FIT")</f>
        <v>0</v>
      </c>
      <c r="D25" s="9">
        <f>COUNTIFS('Test Script Register'!$C$4:$C$155,"Journeys",'Test Script Register'!$F$4:$F$155,"PARTIAL FIT")</f>
        <v>0</v>
      </c>
      <c r="E25" s="9">
        <f>COUNTIFS('Test Script Register'!$C$4:$C$155,"Journeys",'Test Script Register'!$F$4:$F$155,"GAP")</f>
        <v>0</v>
      </c>
      <c r="F25" s="9">
        <f>COUNTIFS('Test Script Register'!$C$4:$C$155,"Journeys",'Test Script Register'!$F$4:$F$155,"OUT OF SCOPE")</f>
        <v>0</v>
      </c>
      <c r="G25" s="9">
        <f>COUNTIFS('Test Script Register'!$C$4:$C$155,"Journeys",'Test Script Register'!$O$4:$O$155,"&lt;&gt;")</f>
        <v>0</v>
      </c>
      <c r="H25" s="9">
        <f>COUNTIFS('Test Script Register'!$C$4:$C$155,"Journeys",'Test Script Register'!$O$4:$O$155,"Pass")</f>
        <v>0</v>
      </c>
    </row>
    <row r="26" spans="1:8" x14ac:dyDescent="0.35">
      <c r="A26" s="9" t="s">
        <v>976</v>
      </c>
      <c r="B26" s="9">
        <f>COUNTIF('Test Script Register'!$C$4:$C$155,"Recruiting Booster")</f>
        <v>2</v>
      </c>
      <c r="C26" s="9">
        <f>COUNTIFS('Test Script Register'!$C$4:$C$155,"Recruiting Booster",'Test Script Register'!$F$4:$F$155,"FIT")</f>
        <v>0</v>
      </c>
      <c r="D26" s="9">
        <f>COUNTIFS('Test Script Register'!$C$4:$C$155,"Recruiting Booster",'Test Script Register'!$F$4:$F$155,"PARTIAL FIT")</f>
        <v>1</v>
      </c>
      <c r="E26" s="9">
        <f>COUNTIFS('Test Script Register'!$C$4:$C$155,"Recruiting Booster",'Test Script Register'!$F$4:$F$155,"GAP")</f>
        <v>1</v>
      </c>
      <c r="F26" s="9">
        <f>COUNTIFS('Test Script Register'!$C$4:$C$155,"Recruiting Booster",'Test Script Register'!$F$4:$F$155,"OUT OF SCOPE")</f>
        <v>0</v>
      </c>
      <c r="G26" s="9">
        <f>COUNTIFS('Test Script Register'!$C$4:$C$155,"Recruiting Booster",'Test Script Register'!$O$4:$O$155,"&lt;&gt;")</f>
        <v>0</v>
      </c>
      <c r="H26" s="9">
        <f>COUNTIFS('Test Script Register'!$C$4:$C$155,"Recruiting Booster",'Test Script Register'!$O$4:$O$155,"Pass")</f>
        <v>0</v>
      </c>
    </row>
    <row r="27" spans="1:8" x14ac:dyDescent="0.35">
      <c r="A27" s="9" t="s">
        <v>1010</v>
      </c>
      <c r="B27" s="9">
        <f>COUNTIF('Test Script Register'!$C$4:$C$155,"Reporting &amp; Analytics")</f>
        <v>3</v>
      </c>
      <c r="C27" s="9">
        <f>COUNTIFS('Test Script Register'!$C$4:$C$155,"Reporting &amp; Analytics",'Test Script Register'!$F$4:$F$155,"FIT")</f>
        <v>3</v>
      </c>
      <c r="D27" s="9">
        <f>COUNTIFS('Test Script Register'!$C$4:$C$155,"Reporting &amp; Analytics",'Test Script Register'!$F$4:$F$155,"PARTIAL FIT")</f>
        <v>0</v>
      </c>
      <c r="E27" s="9">
        <f>COUNTIFS('Test Script Register'!$C$4:$C$155,"Reporting &amp; Analytics",'Test Script Register'!$F$4:$F$155,"GAP")</f>
        <v>0</v>
      </c>
      <c r="F27" s="9">
        <f>COUNTIFS('Test Script Register'!$C$4:$C$155,"Reporting &amp; Analytics",'Test Script Register'!$F$4:$F$155,"OUT OF SCOPE")</f>
        <v>0</v>
      </c>
      <c r="G27" s="9">
        <f>COUNTIFS('Test Script Register'!$C$4:$C$155,"Reporting &amp; Analytics",'Test Script Register'!$O$4:$O$155,"&lt;&gt;")</f>
        <v>0</v>
      </c>
      <c r="H27" s="9">
        <f>COUNTIFS('Test Script Register'!$C$4:$C$155,"Reporting &amp; Analytics",'Test Script Register'!$O$4:$O$155,"Pass")</f>
        <v>0</v>
      </c>
    </row>
    <row r="28" spans="1:8" x14ac:dyDescent="0.35">
      <c r="A28" s="9" t="s">
        <v>908</v>
      </c>
      <c r="B28" s="9">
        <f>COUNTIF('Test Script Register'!$C$4:$C$155,"Security")</f>
        <v>9</v>
      </c>
      <c r="C28" s="9">
        <f>COUNTIFS('Test Script Register'!$C$4:$C$155,"Security",'Test Script Register'!$F$4:$F$155,"FIT")</f>
        <v>9</v>
      </c>
      <c r="D28" s="9">
        <f>COUNTIFS('Test Script Register'!$C$4:$C$155,"Security",'Test Script Register'!$F$4:$F$155,"PARTIAL FIT")</f>
        <v>0</v>
      </c>
      <c r="E28" s="9">
        <f>COUNTIFS('Test Script Register'!$C$4:$C$155,"Security",'Test Script Register'!$F$4:$F$155,"GAP")</f>
        <v>0</v>
      </c>
      <c r="F28" s="9">
        <f>COUNTIFS('Test Script Register'!$C$4:$C$155,"Security",'Test Script Register'!$F$4:$F$155,"OUT OF SCOPE")</f>
        <v>0</v>
      </c>
      <c r="G28" s="9">
        <f>COUNTIFS('Test Script Register'!$C$4:$C$155,"Security",'Test Script Register'!$O$4:$O$155,"&lt;&gt;")</f>
        <v>0</v>
      </c>
      <c r="H28" s="9">
        <f>COUNTIFS('Test Script Register'!$C$4:$C$155,"Security",'Test Script Register'!$O$4:$O$155,"Pass")</f>
        <v>0</v>
      </c>
    </row>
  </sheetData>
  <mergeCells count="3">
    <mergeCell ref="A1:H1"/>
    <mergeCell ref="A8:H8"/>
    <mergeCell ref="A15:H15"/>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C42C3904A59EA44965BDBD7FA9B275C" ma:contentTypeVersion="11" ma:contentTypeDescription="Create a new document." ma:contentTypeScope="" ma:versionID="1458af746a8a5a502d89fe4fc32ecd12">
  <xsd:schema xmlns:xsd="http://www.w3.org/2001/XMLSchema" xmlns:xs="http://www.w3.org/2001/XMLSchema" xmlns:p="http://schemas.microsoft.com/office/2006/metadata/properties" xmlns:ns2="2bd59510-a6c0-4266-8ae5-7be1b99727d0" xmlns:ns3="12052661-a239-4968-b736-ce61c62fb826" targetNamespace="http://schemas.microsoft.com/office/2006/metadata/properties" ma:root="true" ma:fieldsID="d72d6c3aeb61910d641d2219a2b6a565" ns2:_="" ns3:_="">
    <xsd:import namespace="2bd59510-a6c0-4266-8ae5-7be1b99727d0"/>
    <xsd:import namespace="12052661-a239-4968-b736-ce61c62fb82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d59510-a6c0-4266-8ae5-7be1b99727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2052661-a239-4968-b736-ce61c62fb82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8c20485-917f-417f-925a-c931312f7498}" ma:internalName="TaxCatchAll" ma:showField="CatchAllData" ma:web="12052661-a239-4968-b736-ce61c62fb8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bd59510-a6c0-4266-8ae5-7be1b99727d0">
      <Terms xmlns="http://schemas.microsoft.com/office/infopath/2007/PartnerControls"/>
    </lcf76f155ced4ddcb4097134ff3c332f>
    <TaxCatchAll xmlns="12052661-a239-4968-b736-ce61c62fb826" xsi:nil="true"/>
  </documentManagement>
</p:properties>
</file>

<file path=customXml/itemProps1.xml><?xml version="1.0" encoding="utf-8"?>
<ds:datastoreItem xmlns:ds="http://schemas.openxmlformats.org/officeDocument/2006/customXml" ds:itemID="{C579BE70-661E-43C1-AAEE-4CC3FAB5AFA4}">
  <ds:schemaRefs>
    <ds:schemaRef ds:uri="http://schemas.microsoft.com/sharepoint/v3/contenttype/forms"/>
  </ds:schemaRefs>
</ds:datastoreItem>
</file>

<file path=customXml/itemProps2.xml><?xml version="1.0" encoding="utf-8"?>
<ds:datastoreItem xmlns:ds="http://schemas.openxmlformats.org/officeDocument/2006/customXml" ds:itemID="{31A2CBC4-14FE-4B9B-AA74-65B36F55BE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d59510-a6c0-4266-8ae5-7be1b99727d0"/>
    <ds:schemaRef ds:uri="12052661-a239-4968-b736-ce61c62fb8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BFC1CC-94FD-4B73-9118-CBF432D2A19B}">
  <ds:schemaRefs>
    <ds:schemaRef ds:uri="http://www.w3.org/XML/1998/namespace"/>
    <ds:schemaRef ds:uri="http://purl.org/dc/elements/1.1/"/>
    <ds:schemaRef ds:uri="http://schemas.microsoft.com/office/2006/documentManagement/types"/>
    <ds:schemaRef ds:uri="http://purl.org/dc/terms/"/>
    <ds:schemaRef ds:uri="http://schemas.microsoft.com/office/2006/metadata/properties"/>
    <ds:schemaRef ds:uri="http://schemas.microsoft.com/office/infopath/2007/PartnerControls"/>
    <ds:schemaRef ds:uri="http://purl.org/dc/dcmitype/"/>
    <ds:schemaRef ds:uri="http://schemas.openxmlformats.org/package/2006/metadata/core-properties"/>
    <ds:schemaRef ds:uri="12052661-a239-4968-b736-ce61c62fb826"/>
    <ds:schemaRef ds:uri="2bd59510-a6c0-4266-8ae5-7be1b99727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Test Script Register</vt:lpstr>
      <vt:lpstr>Execution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Rajendra Dalavi, Tejal (Cognizant)</cp:lastModifiedBy>
  <cp:revision>0</cp:revision>
  <dcterms:created xsi:type="dcterms:W3CDTF">2026-08-17T05:39:30Z</dcterms:created>
  <dcterms:modified xsi:type="dcterms:W3CDTF">2026-08-21T08:00:51Z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0x0101006C42C3904A59EA44965BDBD7FA9B275C</vt:lpwstr>
  </property>
  <property fmtid="{D5CDD505-2E9C-101B-9397-08002B2CF9AE}" pid="3" name="MediaServiceImageTags">
    <vt:lpwstr/>
  </property>
</Properties>
</file>