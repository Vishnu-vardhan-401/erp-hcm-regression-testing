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Page" sheetId="1" state="visible" r:id="rId3"/>
    <sheet name="Scope" sheetId="2" state="visible" r:id="rId4"/>
    <sheet name="Complexity Basis" sheetId="3" state="visible" r:id="rId5"/>
    <sheet name="Framework Reuse" sheetId="4" state="visible" r:id="rId6"/>
    <sheet name="Overall Estimation" sheetId="5" state="visible" r:id="rId7"/>
    <sheet name="Resourcing Scenarios" sheetId="6" state="visible" r:id="rId8"/>
    <sheet name="Resourcing Model" sheetId="7" state="visible" r:id="rId9"/>
    <sheet name="Tool Comparison" sheetId="8" state="visible" r:id="rId10"/>
    <sheet name="Assumptions &amp; Risks" sheetId="9" state="visible" r:id="rId11"/>
  </sheets>
  <definedNames>
    <definedName function="false" hidden="false" localSheetId="8" name="_xlnm.Print_Area" vbProcedure="false">'Assumptions &amp; Risks'!$B$1:$E$70</definedName>
    <definedName function="false" hidden="false" localSheetId="2" name="_xlnm.Print_Area" vbProcedure="false">'Complexity Basis'!$A$1:$O$153</definedName>
    <definedName function="false" hidden="false" localSheetId="2" name="_xlnm.Print_Titles" vbProcedure="false">'Complexity Basis'!$1:$1</definedName>
    <definedName function="false" hidden="true" localSheetId="2" name="_xlnm._FilterDatabase" vbProcedure="false">'Complexity Basis'!$A$1:$O$153</definedName>
    <definedName function="false" hidden="false" localSheetId="0" name="_xlnm.Print_Area" vbProcedure="false">'Cover Page'!$B$1:$E$60</definedName>
    <definedName function="false" hidden="false" localSheetId="3" name="_xlnm.Print_Area" vbProcedure="false">'Framework Reuse'!$B$1:$G$62</definedName>
    <definedName function="false" hidden="false" localSheetId="4" name="_xlnm.Print_Area" vbProcedure="false">'Overall Estimation'!$A$1:$I$40</definedName>
    <definedName function="false" hidden="false" localSheetId="6" name="_xlnm.Print_Area" vbProcedure="false">'Resourcing Model'!$B$1:$M$25</definedName>
    <definedName function="false" hidden="false" localSheetId="5" name="_xlnm.Print_Area" vbProcedure="false">'Resourcing Scenarios'!$B$1:$I$24</definedName>
    <definedName function="false" hidden="false" localSheetId="1" name="_xlnm.Print_Area" vbProcedure="false">Scope!$B$1:$I$80</definedName>
    <definedName function="false" hidden="false" localSheetId="7" name="_xlnm.Print_Area" vbProcedure="false">'Tool Comparison'!$B$1:$E$32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<sst xmlns="http://schemas.openxmlformats.org/spreadsheetml/2006/main" count="2172" uniqueCount="950">
  <si>
    <t xml:space="preserve">TEST AUTOMATION ESTIMATE</t>
  </si>
  <si>
    <t xml:space="preserve">ATS — Oracle Recruiting Cloud (ORC)  ·  Option B: extend the existing automation framework</t>
  </si>
  <si>
    <t xml:space="preserve">PROJECT DETAILS</t>
  </si>
  <si>
    <t xml:space="preserve">Project Name</t>
  </si>
  <si>
    <t xml:space="preserve">Oracle Recruiting Cloud (ORC) Implementation</t>
  </si>
  <si>
    <t xml:space="preserve">Client / Org</t>
  </si>
  <si>
    <t xml:space="preserve">Cognizant</t>
  </si>
  <si>
    <t xml:space="preserve">Estimate For</t>
  </si>
  <si>
    <t xml:space="preserve">Automation of the ATS ORC SIT/UAT regression suite</t>
  </si>
  <si>
    <t xml:space="preserve">Test Lead</t>
  </si>
  <si>
    <t xml:space="preserve">Tejal Dalavi</t>
  </si>
  <si>
    <t xml:space="preserve">Delivery Approach</t>
  </si>
  <si>
    <t xml:space="preserve">Extend the existing Selenium 4.40 + Cucumber 7.33 + TestNG + Allure framework</t>
  </si>
  <si>
    <t xml:space="preserve">Framework Source</t>
  </si>
  <si>
    <t xml:space="preserve">github.com/Vishnu-vardhan-401/erp-hcm-regression-testing</t>
  </si>
  <si>
    <t xml:space="preserve">Scope Source</t>
  </si>
  <si>
    <t xml:space="preserve">ATS_ORC_Test_Script_Register_20AUG26.xlsx (Fit/Gap V1.1)</t>
  </si>
  <si>
    <t xml:space="preserve">Estimation Model</t>
  </si>
  <si>
    <t xml:space="preserve">HGV_Automation Estimation_Uipath_V1.0.xlsx (activity structure)</t>
  </si>
  <si>
    <t xml:space="preserve">Version</t>
  </si>
  <si>
    <t xml:space="preserve">1.0</t>
  </si>
  <si>
    <t xml:space="preserve">Prepared By</t>
  </si>
  <si>
    <t xml:space="preserve">Vishnu Vardhan G</t>
  </si>
  <si>
    <t xml:space="preserve">Date</t>
  </si>
  <si>
    <t xml:space="preserve">24-Aug-2026</t>
  </si>
  <si>
    <t xml:space="preserve">Status</t>
  </si>
  <si>
    <t xml:space="preserve">Draft for review</t>
  </si>
  <si>
    <t xml:space="preserve">ESTIMATE AT A GLANCE</t>
  </si>
  <si>
    <t xml:space="preserve">Can the ATS ORC suite be automated?</t>
  </si>
  <si>
    <t xml:space="preserve">Yes — see breakdown below</t>
  </si>
  <si>
    <t xml:space="preserve">Total test scripts in register</t>
  </si>
  <si>
    <t xml:space="preserve">scripts</t>
  </si>
  <si>
    <t xml:space="preserve">In scope for automation</t>
  </si>
  <si>
    <t xml:space="preserve">Recommended to stay manual</t>
  </si>
  <si>
    <t xml:space="preserve">Complexity mix (Simple / Medium / Complex)</t>
  </si>
  <si>
    <t xml:space="preserve">Total automation effort</t>
  </si>
  <si>
    <t xml:space="preserve">hours</t>
  </si>
  <si>
    <t xml:space="preserve">Total effort in person days</t>
  </si>
  <si>
    <t xml:space="preserve">person days</t>
  </si>
  <si>
    <t xml:space="preserve">Recommended team</t>
  </si>
  <si>
    <t xml:space="preserve">Scenario A — 3 automation engineers + test manager + ORC SME</t>
  </si>
  <si>
    <t xml:space="preserve">Indicative duration</t>
  </si>
  <si>
    <t xml:space="preserve">weeks</t>
  </si>
  <si>
    <t xml:space="preserve">Indicative duration (months)</t>
  </si>
  <si>
    <t xml:space="preserve">months</t>
  </si>
  <si>
    <t xml:space="preserve">Fastest option (Scenario C)</t>
  </si>
  <si>
    <t xml:space="preserve">weeks with 7 engineers</t>
  </si>
  <si>
    <t xml:space="preserve">Effort saved vs UiPath option</t>
  </si>
  <si>
    <t xml:space="preserve">lower effort</t>
  </si>
  <si>
    <t xml:space="preserve">WORKBOOK CONTENTS</t>
  </si>
  <si>
    <t xml:space="preserve">Scope</t>
  </si>
  <si>
    <t xml:space="preserve">Script volumes, complexity mix, coverage by module, banding basis, and the scripts excluded from automation.</t>
  </si>
  <si>
    <t xml:space="preserve">Complexity Basis</t>
  </si>
  <si>
    <t xml:space="preserve">All 152 scripts with step count, personas, complexity score and band, in-scope flag and the drivers behind each rating.</t>
  </si>
  <si>
    <t xml:space="preserve">Framework Reuse</t>
  </si>
  <si>
    <t xml:space="preserve">What the existing framework already provides, what must be built, and the sizing of the ORC component library.</t>
  </si>
  <si>
    <t xml:space="preserve">Overall Estimation</t>
  </si>
  <si>
    <t xml:space="preserve">The effort model — KT, framework uplift, component library, scripting, dry run, PM and contingency, with a contingency sensitivity.</t>
  </si>
  <si>
    <t xml:space="preserve">Resourcing Scenarios</t>
  </si>
  <si>
    <t xml:space="preserve">Three team sizes and the duration each produces, with squad composition.</t>
  </si>
  <si>
    <t xml:space="preserve">Resourcing Model</t>
  </si>
  <si>
    <t xml:space="preserve">Phase plan by week and resource ramp by month for the recommended scenario.</t>
  </si>
  <si>
    <t xml:space="preserve">Tool Comparison</t>
  </si>
  <si>
    <t xml:space="preserve">UiPath Test Suite vs extending the existing framework — effort, duration, cost and risk side by side.</t>
  </si>
  <si>
    <t xml:space="preserve">Assumptions &amp; Risks</t>
  </si>
  <si>
    <t xml:space="preserve">Basis of estimate, assumptions, exclusions and risks with mitigations.</t>
  </si>
  <si>
    <t xml:space="preserve">CELL LEGEND</t>
  </si>
  <si>
    <t xml:space="preserve">Input / assumption</t>
  </si>
  <si>
    <t xml:space="preserve">Blue bold text on a yellow fill — editable lever. Change these to flex the estimate.</t>
  </si>
  <si>
    <t xml:space="preserve">Calculated</t>
  </si>
  <si>
    <t xml:space="preserve">Black text — driven by formulas. Do not overwrite.</t>
  </si>
  <si>
    <t xml:space="preserve">AUTOMATION SCOPE  —  ATS Oracle Recruiting Cloud (ORC)</t>
  </si>
  <si>
    <t xml:space="preserve">Derived from ATS_ORC_Test_Script_Register_20AUG26.xlsx (152 scripts, Fit/Gap V1.1). Scope is identical to the UiPath estimate — only the delivery approach differs.</t>
  </si>
  <si>
    <t xml:space="preserve">SCRIPT VOLUMES</t>
  </si>
  <si>
    <t xml:space="preserve">Total Test Scripts in Register</t>
  </si>
  <si>
    <t xml:space="preserve">% of total</t>
  </si>
  <si>
    <t xml:space="preserve">In Scope for Automation</t>
  </si>
  <si>
    <t xml:space="preserve">Excluded — to remain manual</t>
  </si>
  <si>
    <t xml:space="preserve">AUTOMATION TEST SUITE — SCOPE BY COMPLEXITY</t>
  </si>
  <si>
    <t xml:space="preserve">Complexity</t>
  </si>
  <si>
    <t xml:space="preserve">Simple</t>
  </si>
  <si>
    <t xml:space="preserve">Medium</t>
  </si>
  <si>
    <t xml:space="preserve">Complex</t>
  </si>
  <si>
    <t xml:space="preserve">Total</t>
  </si>
  <si>
    <t xml:space="preserve">Feeds the "Overall Estimation" tab.</t>
  </si>
  <si>
    <t xml:space="preserve">Number of Test Scripts</t>
  </si>
  <si>
    <t xml:space="preserve">% Mix</t>
  </si>
  <si>
    <t xml:space="preserve">SCOPE BY MODULE (PROCESS)</t>
  </si>
  <si>
    <t xml:space="preserve">Module (Process)</t>
  </si>
  <si>
    <t xml:space="preserve">Total Scripts</t>
  </si>
  <si>
    <t xml:space="preserve">In Scope</t>
  </si>
  <si>
    <t xml:space="preserve">Excluded</t>
  </si>
  <si>
    <t xml:space="preserve">Job Requisition</t>
  </si>
  <si>
    <t xml:space="preserve">Job Offer</t>
  </si>
  <si>
    <t xml:space="preserve">Candidate Selection Process</t>
  </si>
  <si>
    <t xml:space="preserve">Employee Referral</t>
  </si>
  <si>
    <t xml:space="preserve">Candidate Experience</t>
  </si>
  <si>
    <t xml:space="preserve">Security</t>
  </si>
  <si>
    <t xml:space="preserve">Integration</t>
  </si>
  <si>
    <t xml:space="preserve">Interview Management</t>
  </si>
  <si>
    <t xml:space="preserve">AI Agents</t>
  </si>
  <si>
    <t xml:space="preserve">Reporting &amp; Analytics</t>
  </si>
  <si>
    <t xml:space="preserve">Recruiting Booster</t>
  </si>
  <si>
    <t xml:space="preserve">COMPLEXITY BANDING BASIS  (applied script-by-script on "Complexity Basis")</t>
  </si>
  <si>
    <t xml:space="preserve">Scoring drivers (+)</t>
  </si>
  <si>
    <t xml:space="preserve">Test steps: 8–11 = +1, 12+ = +2  •  Persona/login handoffs: 2 = +1, 3+ = +2  •  Third-party integration (Talview, Mercer, PeopleSoft, background check, e-storage) = +3  •  AI / non-deterministic output = +3  •  Approval workflow = +1  •  Email / notification / SMS = +1  •  OTBI or report validation = +1  •  Career-site / external candidate UI = +1  •  File, resume or document handling = +1  •  Bulk or mass action = +1</t>
  </si>
  <si>
    <t xml:space="preserve">Scoring drivers (−)</t>
  </si>
  <si>
    <t xml:space="preserve">Pure configuration or field-visibility assertion (suppress / hidden / read-only / restricted / label) = −1</t>
  </si>
  <si>
    <t xml:space="preserve">Band thresholds</t>
  </si>
  <si>
    <t xml:space="preserve">Score ≤ 1 = Simple   •   Score 2–4 = Medium   •   Score ≥ 5 = Complex</t>
  </si>
  <si>
    <t xml:space="preserve">Why this matters</t>
  </si>
  <si>
    <t xml:space="preserve">The band drives both scripting and dry-run productivity rates on the "Overall Estimation" tab.</t>
  </si>
  <si>
    <t xml:space="preserve">SCRIPTS EXCLUDED FROM AUTOMATION  —  recommended to remain manual</t>
  </si>
  <si>
    <t xml:space="preserve">Test Script ID</t>
  </si>
  <si>
    <t xml:space="preserve">Module</t>
  </si>
  <si>
    <t xml:space="preserve">Sub-Process</t>
  </si>
  <si>
    <t xml:space="preserve">Reason for Exclusion</t>
  </si>
  <si>
    <t xml:space="preserve">TC01-JR</t>
  </si>
  <si>
    <t xml:space="preserve">AI Recruiting Assistant / Chatbot</t>
  </si>
  <si>
    <t xml:space="preserve">AI-generated output is non-deterministic — no stable expected result to assert against. Validate manually / by sampling.</t>
  </si>
  <si>
    <t xml:space="preserve">TC018-JR</t>
  </si>
  <si>
    <t xml:space="preserve">Agency Posting Approval</t>
  </si>
  <si>
    <t xml:space="preserve">Classified GAP in Fit/Gap V1.1 — only an interim manual workaround exists; no configured ORC behaviour to automate.</t>
  </si>
  <si>
    <t xml:space="preserve">TC012-CE</t>
  </si>
  <si>
    <t xml:space="preserve">AI Agent Reuse</t>
  </si>
  <si>
    <t xml:space="preserve">TC01-AI</t>
  </si>
  <si>
    <t xml:space="preserve">AI Referral Matching</t>
  </si>
  <si>
    <t xml:space="preserve">TC01-RB</t>
  </si>
  <si>
    <t xml:space="preserve">Targeted Campaigns</t>
  </si>
  <si>
    <t xml:space="preserve">Delivery is via an external channel (SMS / campaign platform) outside the ORC UI — no automatable assertion point.</t>
  </si>
  <si>
    <t xml:space="preserve">TC02-RB</t>
  </si>
  <si>
    <t xml:space="preserve">SMS Communication</t>
  </si>
  <si>
    <t xml:space="preserve">TC02-AI</t>
  </si>
  <si>
    <t xml:space="preserve">Voice AI Agents</t>
  </si>
  <si>
    <t xml:space="preserve">TC03-AI</t>
  </si>
  <si>
    <t xml:space="preserve">AI in Candidate Selection Process</t>
  </si>
  <si>
    <t xml:space="preserve">Excluded scripts carry no automation build effort. They remain in the manual SIT/UAT pack.</t>
  </si>
  <si>
    <t xml:space="preserve">S.No</t>
  </si>
  <si>
    <t xml:space="preserve">Req ID</t>
  </si>
  <si>
    <t xml:space="preserve">Priority</t>
  </si>
  <si>
    <t xml:space="preserve">Classification</t>
  </si>
  <si>
    <t xml:space="preserve">Test Type</t>
  </si>
  <si>
    <t xml:space="preserve">No. of Test Steps</t>
  </si>
  <si>
    <t xml:space="preserve">Personas Involved</t>
  </si>
  <si>
    <t xml:space="preserve">Complexity Score</t>
  </si>
  <si>
    <t xml:space="preserve">Complexity Band</t>
  </si>
  <si>
    <t xml:space="preserve">Automation Viability / Reason</t>
  </si>
  <si>
    <t xml:space="preserve">Complexity Drivers</t>
  </si>
  <si>
    <t xml:space="preserve">TC01-REF</t>
  </si>
  <si>
    <t xml:space="preserve">REQ_ERP_0001</t>
  </si>
  <si>
    <t xml:space="preserve">Referral UI Configuration</t>
  </si>
  <si>
    <t xml:space="preserve">FIT</t>
  </si>
  <si>
    <t xml:space="preserve">Positive</t>
  </si>
  <si>
    <t xml:space="preserve">Yes</t>
  </si>
  <si>
    <t xml:space="preserve">Automate</t>
  </si>
  <si>
    <t xml:space="preserve">6 steps; 3 personas/2 logins; config/visibility assertion</t>
  </si>
  <si>
    <t xml:space="preserve">TC02-REF</t>
  </si>
  <si>
    <t xml:space="preserve">REQ_ERP_0002</t>
  </si>
  <si>
    <t xml:space="preserve">Referral Notifications</t>
  </si>
  <si>
    <t xml:space="preserve">Low</t>
  </si>
  <si>
    <t xml:space="preserve">5 steps; 3 personas/1 logins; email/notification</t>
  </si>
  <si>
    <t xml:space="preserve">TC03-REF</t>
  </si>
  <si>
    <t xml:space="preserve">REQ_ERP_0003</t>
  </si>
  <si>
    <t xml:space="preserve">Job Search Configuration</t>
  </si>
  <si>
    <t xml:space="preserve">5 steps; 2 personas/1 logins; career-site/external UI</t>
  </si>
  <si>
    <t xml:space="preserve">TC04-REF</t>
  </si>
  <si>
    <t xml:space="preserve">Negative</t>
  </si>
  <si>
    <t xml:space="preserve">6 steps; config/visibility assertion</t>
  </si>
  <si>
    <t xml:space="preserve">TC05-REF</t>
  </si>
  <si>
    <t xml:space="preserve">REQ_ERP_0004</t>
  </si>
  <si>
    <t xml:space="preserve">Referral Configuration Governance</t>
  </si>
  <si>
    <t xml:space="preserve">5 steps; 2 personas/1 logins; email/notification; career-site/external UI</t>
  </si>
  <si>
    <t xml:space="preserve">TC06-REF</t>
  </si>
  <si>
    <t xml:space="preserve">REQ_ERP_0005</t>
  </si>
  <si>
    <t xml:space="preserve">Duplicate Management</t>
  </si>
  <si>
    <t xml:space="preserve">High</t>
  </si>
  <si>
    <t xml:space="preserve">10 steps; 2 personas/1 logins; email/notification; file/doc handling</t>
  </si>
  <si>
    <t xml:space="preserve">TC07-REF</t>
  </si>
  <si>
    <t xml:space="preserve">8 steps; email/notification</t>
  </si>
  <si>
    <t xml:space="preserve">TC08-REF</t>
  </si>
  <si>
    <t xml:space="preserve">REQ_ERP_0006</t>
  </si>
  <si>
    <t xml:space="preserve">Resume Parsing (Referral Portal)</t>
  </si>
  <si>
    <t xml:space="preserve">PARTIAL FIT</t>
  </si>
  <si>
    <t xml:space="preserve">10 steps; file/doc handling</t>
  </si>
  <si>
    <t xml:space="preserve">TC09-REF</t>
  </si>
  <si>
    <t xml:space="preserve">8 steps; file/doc handling</t>
  </si>
  <si>
    <t xml:space="preserve">TC010-REF</t>
  </si>
  <si>
    <t xml:space="preserve">REQ_ERP_0007</t>
  </si>
  <si>
    <t xml:space="preserve">Referral Form Configuration</t>
  </si>
  <si>
    <t xml:space="preserve">10 steps; config/visibility assertion</t>
  </si>
  <si>
    <t xml:space="preserve">TC011-REF</t>
  </si>
  <si>
    <t xml:space="preserve">REQ_ERP_0008</t>
  </si>
  <si>
    <t xml:space="preserve">Referral Consent Capture</t>
  </si>
  <si>
    <t xml:space="preserve">10 steps; email/notification</t>
  </si>
  <si>
    <t xml:space="preserve">TC012-REF</t>
  </si>
  <si>
    <t xml:space="preserve">TC013-REF</t>
  </si>
  <si>
    <t xml:space="preserve">REQ_ERP_0009</t>
  </si>
  <si>
    <t xml:space="preserve">Referrer Dashboard</t>
  </si>
  <si>
    <t xml:space="preserve">8 steps; 2 personas/1 logins; report/OTBI</t>
  </si>
  <si>
    <t xml:space="preserve">TC014-REF</t>
  </si>
  <si>
    <t xml:space="preserve">REQ_ERP_0010</t>
  </si>
  <si>
    <t xml:space="preserve">Referral Reporting Access</t>
  </si>
  <si>
    <t xml:space="preserve">8 steps; 1 personas/2 logins; report/OTBI</t>
  </si>
  <si>
    <t xml:space="preserve">TC015-REF</t>
  </si>
  <si>
    <t xml:space="preserve">8 steps; report/OTBI; config/visibility assertion</t>
  </si>
  <si>
    <t xml:space="preserve">TC016-REF</t>
  </si>
  <si>
    <t xml:space="preserve">REQ_ERP_0011</t>
  </si>
  <si>
    <t xml:space="preserve">Branding / Terminology</t>
  </si>
  <si>
    <t xml:space="preserve">7 steps; config/visibility assertion</t>
  </si>
  <si>
    <t xml:space="preserve">TC017-REF</t>
  </si>
  <si>
    <t xml:space="preserve">REQ_ERP_0012</t>
  </si>
  <si>
    <t xml:space="preserve">8 steps; 2 personas/1 logins; config/visibility assertion</t>
  </si>
  <si>
    <t xml:space="preserve">TC018-REF</t>
  </si>
  <si>
    <t xml:space="preserve">9 steps; email/notification; config/visibility assertion</t>
  </si>
  <si>
    <t xml:space="preserve">TC019-REF</t>
  </si>
  <si>
    <t xml:space="preserve">REQ_ERP_0013</t>
  </si>
  <si>
    <t xml:space="preserve">REQ_JR_0001</t>
  </si>
  <si>
    <t xml:space="preserve">No</t>
  </si>
  <si>
    <t xml:space="preserve">Manual (AI/non-deterministic)</t>
  </si>
  <si>
    <t xml:space="preserve">14 steps; 2 personas/3 logins; AI/non-deterministic</t>
  </si>
  <si>
    <t xml:space="preserve">TC02-JR</t>
  </si>
  <si>
    <t xml:space="preserve">REQ_JR_0002</t>
  </si>
  <si>
    <t xml:space="preserve">Recruiting Activity Center</t>
  </si>
  <si>
    <t xml:space="preserve">10 steps; report/OTBI</t>
  </si>
  <si>
    <t xml:space="preserve">TC03-JR</t>
  </si>
  <si>
    <t xml:space="preserve">9 steps; config/visibility assertion</t>
  </si>
  <si>
    <t xml:space="preserve">TC04-JR</t>
  </si>
  <si>
    <t xml:space="preserve">REQ_JR_0003</t>
  </si>
  <si>
    <t xml:space="preserve">10 steps; 1 personas/2 logins</t>
  </si>
  <si>
    <t xml:space="preserve">TC05-JR</t>
  </si>
  <si>
    <t xml:space="preserve">REQ_JR_0004</t>
  </si>
  <si>
    <t xml:space="preserve">Field-Level Compliance (Legal Name)</t>
  </si>
  <si>
    <t xml:space="preserve">Automate (stub/mock 3rd party)</t>
  </si>
  <si>
    <t xml:space="preserve">15 steps; 3rd-party integration</t>
  </si>
  <si>
    <t xml:space="preserve">TC06-JR</t>
  </si>
  <si>
    <t xml:space="preserve">8 steps</t>
  </si>
  <si>
    <t xml:space="preserve">TC07-JR</t>
  </si>
  <si>
    <t xml:space="preserve">REQ_JR_0005</t>
  </si>
  <si>
    <t xml:space="preserve">Role-Based Document Access</t>
  </si>
  <si>
    <t xml:space="preserve">13 steps; 3 personas/2 logins</t>
  </si>
  <si>
    <t xml:space="preserve">TC08-JR</t>
  </si>
  <si>
    <t xml:space="preserve">TC09-JR</t>
  </si>
  <si>
    <t xml:space="preserve">REQ_JR_0006</t>
  </si>
  <si>
    <t xml:space="preserve">Requisition &amp; Candidate Visibility (HM)</t>
  </si>
  <si>
    <t xml:space="preserve">10 steps; 2 personas/2 logins</t>
  </si>
  <si>
    <t xml:space="preserve">TC010-JR</t>
  </si>
  <si>
    <t xml:space="preserve">REQ_JR_0007</t>
  </si>
  <si>
    <t xml:space="preserve">Prescreening Question Governance</t>
  </si>
  <si>
    <t xml:space="preserve">11 steps; config/visibility assertion</t>
  </si>
  <si>
    <t xml:space="preserve">TC011-JR</t>
  </si>
  <si>
    <t xml:space="preserve">9 steps; career-site/external UI; file/doc handling</t>
  </si>
  <si>
    <t xml:space="preserve">TC01-INTM</t>
  </si>
  <si>
    <t xml:space="preserve">REQ_INTM_0001</t>
  </si>
  <si>
    <t xml:space="preserve">Interview Feedback Templates</t>
  </si>
  <si>
    <t xml:space="preserve">15 steps</t>
  </si>
  <si>
    <t xml:space="preserve">TC02-INTM</t>
  </si>
  <si>
    <t xml:space="preserve">REQ_INTM_0002</t>
  </si>
  <si>
    <t xml:space="preserve">AI Interview Feedback Summary</t>
  </si>
  <si>
    <t xml:space="preserve">12 steps; 2 personas/3 logins; AI/non-deterministic</t>
  </si>
  <si>
    <t xml:space="preserve">TC03-INTM</t>
  </si>
  <si>
    <t xml:space="preserve">REQ_INTM_0003</t>
  </si>
  <si>
    <t xml:space="preserve">Candidate Interview Survey</t>
  </si>
  <si>
    <t xml:space="preserve">13 steps; 1 personas/2 logins; email/notification; report/OTBI</t>
  </si>
  <si>
    <t xml:space="preserve">TC012-JR</t>
  </si>
  <si>
    <t xml:space="preserve">REQ_JR_0008</t>
  </si>
  <si>
    <t xml:space="preserve">Prescreening Question Timing</t>
  </si>
  <si>
    <t xml:space="preserve">6 steps</t>
  </si>
  <si>
    <t xml:space="preserve">TC013-JR</t>
  </si>
  <si>
    <t xml:space="preserve">REQ_JR_0009</t>
  </si>
  <si>
    <t xml:space="preserve">Candidate Status / Talent Pool</t>
  </si>
  <si>
    <t xml:space="preserve">11 steps; file/doc handling</t>
  </si>
  <si>
    <t xml:space="preserve">TC014-JR</t>
  </si>
  <si>
    <t xml:space="preserve">REQ_JR_0010</t>
  </si>
  <si>
    <t xml:space="preserve">Application Flow / Interview Questions</t>
  </si>
  <si>
    <t xml:space="preserve">11 steps; career-site/external UI</t>
  </si>
  <si>
    <t xml:space="preserve">TC015-JR</t>
  </si>
  <si>
    <t xml:space="preserve">10 steps; career-site/external UI; config/visibility assertion</t>
  </si>
  <si>
    <t xml:space="preserve">TC01-JO</t>
  </si>
  <si>
    <t xml:space="preserve">REQ_JO_0001</t>
  </si>
  <si>
    <t xml:space="preserve">Offer Field Configuration</t>
  </si>
  <si>
    <t xml:space="preserve">12 steps; file/doc handling</t>
  </si>
  <si>
    <t xml:space="preserve">TC016-JR</t>
  </si>
  <si>
    <t xml:space="preserve">REQ_JR_0011</t>
  </si>
  <si>
    <t xml:space="preserve">Requisition Types / Workflow Customization</t>
  </si>
  <si>
    <t xml:space="preserve">13 steps; 2 personas/1 logins; approval workflow</t>
  </si>
  <si>
    <t xml:space="preserve">TC017-JR</t>
  </si>
  <si>
    <t xml:space="preserve">REQ_JR_0012</t>
  </si>
  <si>
    <t xml:space="preserve">AI JD Creation &amp; Reporting</t>
  </si>
  <si>
    <t xml:space="preserve">14 steps; AI/non-deterministic; report/OTBI</t>
  </si>
  <si>
    <t xml:space="preserve">REQ_JR_0013 &amp; REQ_JR_0015</t>
  </si>
  <si>
    <t xml:space="preserve">GAP</t>
  </si>
  <si>
    <t xml:space="preserve">Manual (GAP - workaround only)</t>
  </si>
  <si>
    <t xml:space="preserve">11 steps; 3 personas/2 logins; approval workflow</t>
  </si>
  <si>
    <t xml:space="preserve">TC019-JR</t>
  </si>
  <si>
    <t xml:space="preserve">REQ_JR_0014</t>
  </si>
  <si>
    <t xml:space="preserve">Confidential Job Posting</t>
  </si>
  <si>
    <t xml:space="preserve">14 steps; 1 personas/3 logins; config/visibility assertion</t>
  </si>
  <si>
    <t xml:space="preserve">TC020-JR</t>
  </si>
  <si>
    <t xml:space="preserve">TC04-INTM</t>
  </si>
  <si>
    <t xml:space="preserve">REQ_INTM_0004</t>
  </si>
  <si>
    <t xml:space="preserve">Hybrid Interview Scheduling</t>
  </si>
  <si>
    <t xml:space="preserve">14 steps; 2 personas/1 logins</t>
  </si>
  <si>
    <t xml:space="preserve">TC05-INTM</t>
  </si>
  <si>
    <t xml:space="preserve">REQ_INTM_0005</t>
  </si>
  <si>
    <t xml:space="preserve">Interview Scheduling Control</t>
  </si>
  <si>
    <t xml:space="preserve">13 steps; 2 personas/2 logins</t>
  </si>
  <si>
    <t xml:space="preserve">TC01-CE</t>
  </si>
  <si>
    <t xml:space="preserve">REQ_CE-0002</t>
  </si>
  <si>
    <t xml:space="preserve">Career Site Branding</t>
  </si>
  <si>
    <t xml:space="preserve">9 steps; career-site/external UI; config/visibility assertion</t>
  </si>
  <si>
    <t xml:space="preserve">TC01-INT</t>
  </si>
  <si>
    <t xml:space="preserve">REQ_ING_0001</t>
  </si>
  <si>
    <t xml:space="preserve">Agency Usage Restrictions</t>
  </si>
  <si>
    <t xml:space="preserve">TC02-INT</t>
  </si>
  <si>
    <t xml:space="preserve">TC06-INTM</t>
  </si>
  <si>
    <t xml:space="preserve">REQ_INTM_0009</t>
  </si>
  <si>
    <t xml:space="preserve">Panel Profile Sharing</t>
  </si>
  <si>
    <t xml:space="preserve">12 steps; 2 personas/1 logins; email/notification; file/doc handling</t>
  </si>
  <si>
    <t xml:space="preserve">TC02-CE</t>
  </si>
  <si>
    <t xml:space="preserve">REQ_CE-0003</t>
  </si>
  <si>
    <t xml:space="preserve">Talent Profile / Qualifications</t>
  </si>
  <si>
    <t xml:space="preserve">12 steps; 2 personas/3 logins</t>
  </si>
  <si>
    <t xml:space="preserve">TC02-JO</t>
  </si>
  <si>
    <t xml:space="preserve">REQ_JO_0002</t>
  </si>
  <si>
    <t xml:space="preserve">Offer Letter Compliance (Job Description)</t>
  </si>
  <si>
    <t xml:space="preserve">12 steps; 2 personas/1 logins; approval workflow</t>
  </si>
  <si>
    <t xml:space="preserve">TC03-JO</t>
  </si>
  <si>
    <t xml:space="preserve">REQ_JO_0003</t>
  </si>
  <si>
    <t xml:space="preserve">Pay Transparency (Salary Range Display)</t>
  </si>
  <si>
    <t xml:space="preserve">Critical</t>
  </si>
  <si>
    <t xml:space="preserve">10 steps; 2 personas/1 logins; career-site/external UI</t>
  </si>
  <si>
    <t xml:space="preserve">TC04-JO</t>
  </si>
  <si>
    <t xml:space="preserve">REQ_JO_0004</t>
  </si>
  <si>
    <t xml:space="preserve">Compensation Automation</t>
  </si>
  <si>
    <t xml:space="preserve">12 steps</t>
  </si>
  <si>
    <t xml:space="preserve">TC05-JO</t>
  </si>
  <si>
    <t xml:space="preserve">REQ_JO_0005</t>
  </si>
  <si>
    <t xml:space="preserve">Compensation / Salary Integration</t>
  </si>
  <si>
    <t xml:space="preserve">TC06-JO</t>
  </si>
  <si>
    <t xml:space="preserve">REQ_JO_0006</t>
  </si>
  <si>
    <t xml:space="preserve">TC021-JR</t>
  </si>
  <si>
    <t xml:space="preserve">REQ_JR_0018</t>
  </si>
  <si>
    <t xml:space="preserve">Job Posting Alerts</t>
  </si>
  <si>
    <t xml:space="preserve">11 steps; 2 personas/1 logins; report/OTBI</t>
  </si>
  <si>
    <t xml:space="preserve">TC07-INTM</t>
  </si>
  <si>
    <t xml:space="preserve">REQ_INTM_0006</t>
  </si>
  <si>
    <t xml:space="preserve">Interview Reason Codes</t>
  </si>
  <si>
    <t xml:space="preserve">13 steps</t>
  </si>
  <si>
    <t xml:space="preserve">TC07-JO</t>
  </si>
  <si>
    <t xml:space="preserve">REQ_JO_0007</t>
  </si>
  <si>
    <t xml:space="preserve">Offer Compliance (COLA/Accommodation)</t>
  </si>
  <si>
    <t xml:space="preserve">TC08-JO</t>
  </si>
  <si>
    <t xml:space="preserve">REQ_JO_0008</t>
  </si>
  <si>
    <t xml:space="preserve">Pay Transparency Compliance</t>
  </si>
  <si>
    <t xml:space="preserve">12 steps; 2 personas/1 logins; career-site/external UI</t>
  </si>
  <si>
    <t xml:space="preserve">TC09-JO</t>
  </si>
  <si>
    <t xml:space="preserve">REQ_JO_0009</t>
  </si>
  <si>
    <t xml:space="preserve">Compensation - HCM Integration</t>
  </si>
  <si>
    <t xml:space="preserve">12 steps; 3rd-party integration</t>
  </si>
  <si>
    <t xml:space="preserve">TC010-JO</t>
  </si>
  <si>
    <t xml:space="preserve">REQ_JO_0010</t>
  </si>
  <si>
    <t xml:space="preserve">Compensation Configuration</t>
  </si>
  <si>
    <t xml:space="preserve">TC011-JO</t>
  </si>
  <si>
    <t xml:space="preserve">REQ_JO_0011</t>
  </si>
  <si>
    <t xml:space="preserve">Offer Compliance Fields</t>
  </si>
  <si>
    <t xml:space="preserve">TC012-JO</t>
  </si>
  <si>
    <t xml:space="preserve">REQ_JO_0012</t>
  </si>
  <si>
    <t xml:space="preserve">Offer Compliance Validation</t>
  </si>
  <si>
    <t xml:space="preserve">TC013-JO</t>
  </si>
  <si>
    <t xml:space="preserve">10 steps</t>
  </si>
  <si>
    <t xml:space="preserve">TC03-INT</t>
  </si>
  <si>
    <t xml:space="preserve">REQ_ING_0002 REQ_ING_0003</t>
  </si>
  <si>
    <t xml:space="preserve">Mercer Belong Integration</t>
  </si>
  <si>
    <t xml:space="preserve">6 steps; 3rd-party integration</t>
  </si>
  <si>
    <t xml:space="preserve">TC022-JR</t>
  </si>
  <si>
    <t xml:space="preserve">REQ_JR_0016</t>
  </si>
  <si>
    <t xml:space="preserve">Hire Type Classification</t>
  </si>
  <si>
    <t xml:space="preserve">11 steps</t>
  </si>
  <si>
    <t xml:space="preserve">TC014-JO</t>
  </si>
  <si>
    <t xml:space="preserve">REQ_JO_0013</t>
  </si>
  <si>
    <t xml:space="preserve">Contract Workflow Configuration</t>
  </si>
  <si>
    <t xml:space="preserve">11 steps; 2 personas/1 logins; approval workflow</t>
  </si>
  <si>
    <t xml:space="preserve">TC015-JO</t>
  </si>
  <si>
    <t xml:space="preserve">REQ_JO_0014</t>
  </si>
  <si>
    <t xml:space="preserve">TC016-JO</t>
  </si>
  <si>
    <t xml:space="preserve">REQ_JO_0015</t>
  </si>
  <si>
    <t xml:space="preserve">Offer Approval Template</t>
  </si>
  <si>
    <t xml:space="preserve">11 steps; 2 personas/1 logins; approval workflow; email/notification</t>
  </si>
  <si>
    <t xml:space="preserve">TC023-JR</t>
  </si>
  <si>
    <t xml:space="preserve">REQ_JR_0017</t>
  </si>
  <si>
    <t xml:space="preserve">Field-Level Visibility (Hiring Manager)</t>
  </si>
  <si>
    <t xml:space="preserve">11 steps; 1 personas/2 logins; config/visibility assertion</t>
  </si>
  <si>
    <t xml:space="preserve">TC024-JR</t>
  </si>
  <si>
    <t xml:space="preserve">TC025-JR</t>
  </si>
  <si>
    <t xml:space="preserve">REQ_JR_0019</t>
  </si>
  <si>
    <t xml:space="preserve">Recruiter-HM Collaboration</t>
  </si>
  <si>
    <t xml:space="preserve">10 steps; 2 personas/2 logins; email/notification</t>
  </si>
  <si>
    <t xml:space="preserve">TC03-CE</t>
  </si>
  <si>
    <t xml:space="preserve">REQ_CE_0004</t>
  </si>
  <si>
    <t xml:space="preserve">Application Flow (Easy Apply)</t>
  </si>
  <si>
    <t xml:space="preserve">13 steps; 2 personas/1 logins; career-site/external UI; file/doc handling</t>
  </si>
  <si>
    <t xml:space="preserve">TC04-CE</t>
  </si>
  <si>
    <t xml:space="preserve">REQ_CE_0005</t>
  </si>
  <si>
    <t xml:space="preserve">Talent Community</t>
  </si>
  <si>
    <t xml:space="preserve">8 steps; email/notification; career-site/external UI; config/visibility assertion</t>
  </si>
  <si>
    <t xml:space="preserve">TC017-JO</t>
  </si>
  <si>
    <t xml:space="preserve">REQ_JO_0016</t>
  </si>
  <si>
    <t xml:space="preserve">Offer Templates</t>
  </si>
  <si>
    <t xml:space="preserve">10 steps; 2 personas/1 logins; file/doc handling</t>
  </si>
  <si>
    <t xml:space="preserve">TC01-CSP</t>
  </si>
  <si>
    <t xml:space="preserve">REQ_CSP_0001</t>
  </si>
  <si>
    <t xml:space="preserve">Recruiter View Configuration</t>
  </si>
  <si>
    <t xml:space="preserve">11 steps; 3 personas/3 logins; career-site/external UI; config/visibility assertion</t>
  </si>
  <si>
    <t xml:space="preserve">TC02-CSP</t>
  </si>
  <si>
    <t xml:space="preserve">10 steps; 2 personas/1 logins; career-site/external UI; config/visibility assertion</t>
  </si>
  <si>
    <t xml:space="preserve">TC05-CE</t>
  </si>
  <si>
    <t xml:space="preserve">REQ_CE_0006</t>
  </si>
  <si>
    <t xml:space="preserve">Application Flow (Easy Apply v3)</t>
  </si>
  <si>
    <t xml:space="preserve">14 steps; 2 personas/1 logins; career-site/external UI; file/doc handling; config/visibility assertion</t>
  </si>
  <si>
    <t xml:space="preserve">TC06-CE</t>
  </si>
  <si>
    <t xml:space="preserve">REQ_CE_0007</t>
  </si>
  <si>
    <t xml:space="preserve">Application Question Sets</t>
  </si>
  <si>
    <t xml:space="preserve">12 steps; career-site/external UI</t>
  </si>
  <si>
    <t xml:space="preserve">TC07-CE</t>
  </si>
  <si>
    <t xml:space="preserve">REQ_CE_0008</t>
  </si>
  <si>
    <t xml:space="preserve">Country-Specific Application Flows</t>
  </si>
  <si>
    <t xml:space="preserve">11 steps; 2 personas/1 logins; career-site/external UI</t>
  </si>
  <si>
    <t xml:space="preserve">TC08-CE</t>
  </si>
  <si>
    <t xml:space="preserve">REQ_CE_0009</t>
  </si>
  <si>
    <t xml:space="preserve">Career Site Compliance Content</t>
  </si>
  <si>
    <t xml:space="preserve">9 steps; career-site/external UI</t>
  </si>
  <si>
    <t xml:space="preserve">TC09-CE</t>
  </si>
  <si>
    <t xml:space="preserve">10 steps; career-site/external UI</t>
  </si>
  <si>
    <t xml:space="preserve">TC03-CSP</t>
  </si>
  <si>
    <t xml:space="preserve">REQ_CSP_0002</t>
  </si>
  <si>
    <t xml:space="preserve">Rehire Check Integration</t>
  </si>
  <si>
    <t xml:space="preserve">10 steps; 2 personas/1 logins</t>
  </si>
  <si>
    <t xml:space="preserve">TC020-REF</t>
  </si>
  <si>
    <t xml:space="preserve">REQ_ERP_0014</t>
  </si>
  <si>
    <t xml:space="preserve">Referral Consent / Compliance</t>
  </si>
  <si>
    <t xml:space="preserve">13 steps; 2 personas/1 logins</t>
  </si>
  <si>
    <t xml:space="preserve">TC021-REF</t>
  </si>
  <si>
    <t xml:space="preserve">11 steps; 2 personas/1 logins</t>
  </si>
  <si>
    <t xml:space="preserve">TC026-JR</t>
  </si>
  <si>
    <t xml:space="preserve">REQ_JR_0020</t>
  </si>
  <si>
    <t xml:space="preserve">Prescreening Question Template</t>
  </si>
  <si>
    <t xml:space="preserve">13 steps; 2 personas/1 logins; career-site/external UI</t>
  </si>
  <si>
    <t xml:space="preserve">TC027-JR</t>
  </si>
  <si>
    <t xml:space="preserve">TC028-JR</t>
  </si>
  <si>
    <t xml:space="preserve">REQ_JR_0021</t>
  </si>
  <si>
    <t xml:space="preserve">Requisition Status (Custom)</t>
  </si>
  <si>
    <t xml:space="preserve">TC018-JO</t>
  </si>
  <si>
    <t xml:space="preserve">REQ_JO_0017</t>
  </si>
  <si>
    <t xml:space="preserve">Offer Document Attachments</t>
  </si>
  <si>
    <t xml:space="preserve">TC019-JO</t>
  </si>
  <si>
    <t xml:space="preserve">REQ_JO_0018</t>
  </si>
  <si>
    <t xml:space="preserve">Compensation / Approval Matrix Automation</t>
  </si>
  <si>
    <t xml:space="preserve">12 steps; 2 personas/1 logins; approval workflow; file/doc handling</t>
  </si>
  <si>
    <t xml:space="preserve">TC020-JO</t>
  </si>
  <si>
    <t xml:space="preserve">REQ_JO_0019</t>
  </si>
  <si>
    <t xml:space="preserve">Offer Fitment Form</t>
  </si>
  <si>
    <t xml:space="preserve">TC010-CE</t>
  </si>
  <si>
    <t xml:space="preserve">REQ_CE_0010</t>
  </si>
  <si>
    <t xml:space="preserve">Candidate Profile Sharing</t>
  </si>
  <si>
    <t xml:space="preserve">12 steps; 3 personas/2 logins</t>
  </si>
  <si>
    <t xml:space="preserve">TC04-INT</t>
  </si>
  <si>
    <t xml:space="preserve">REQ_ING_0004</t>
  </si>
  <si>
    <t xml:space="preserve">Talview Integration - Reporting</t>
  </si>
  <si>
    <t xml:space="preserve">11 steps; 2 personas/1 logins; 3rd-party integration; report/OTBI</t>
  </si>
  <si>
    <t xml:space="preserve">TC05-INT</t>
  </si>
  <si>
    <t xml:space="preserve">REQ_ING_0005</t>
  </si>
  <si>
    <t xml:space="preserve">Talview Integration - Resume Flow</t>
  </si>
  <si>
    <t xml:space="preserve">12 steps; 1 personas/2 logins; 3rd-party integration; file/doc handling</t>
  </si>
  <si>
    <t xml:space="preserve">TC04-CSP</t>
  </si>
  <si>
    <t xml:space="preserve">REQ_CSP_0003</t>
  </si>
  <si>
    <t xml:space="preserve">Candidate History Preservation</t>
  </si>
  <si>
    <t xml:space="preserve">TC05-CSP</t>
  </si>
  <si>
    <t xml:space="preserve">REQ_CSP_0004</t>
  </si>
  <si>
    <t xml:space="preserve">Bulk Candidate Search</t>
  </si>
  <si>
    <t xml:space="preserve">10 steps; email/notification; bulk/mass action</t>
  </si>
  <si>
    <t xml:space="preserve">TC06-CSP</t>
  </si>
  <si>
    <t xml:space="preserve">REQ_CSP_0005</t>
  </si>
  <si>
    <t xml:space="preserve">Bulk Candidate Actions</t>
  </si>
  <si>
    <t xml:space="preserve">12 steps; 2 personas/1 logins; bulk/mass action</t>
  </si>
  <si>
    <t xml:space="preserve">TC07-CSP</t>
  </si>
  <si>
    <t xml:space="preserve">REQ_CSP_0006</t>
  </si>
  <si>
    <t xml:space="preserve">Candidate Status Labels</t>
  </si>
  <si>
    <t xml:space="preserve">12 steps; 2 personas/2 logins; config/visibility assertion</t>
  </si>
  <si>
    <t xml:space="preserve">TC021-JO</t>
  </si>
  <si>
    <t xml:space="preserve">REQ_JO_0020</t>
  </si>
  <si>
    <t xml:space="preserve">Offer Phase States</t>
  </si>
  <si>
    <t xml:space="preserve">TC029-JR</t>
  </si>
  <si>
    <t xml:space="preserve">REQ_JR_0022</t>
  </si>
  <si>
    <t xml:space="preserve">System Status Labels</t>
  </si>
  <si>
    <t xml:space="preserve">11 steps; 3 personas/2 logins; report/OTBI; config/visibility assertion</t>
  </si>
  <si>
    <t xml:space="preserve">TC030-JR</t>
  </si>
  <si>
    <t xml:space="preserve">10 steps; 3 personas/1 logins; config/visibility assertion</t>
  </si>
  <si>
    <t xml:space="preserve">TC08-CSP</t>
  </si>
  <si>
    <t xml:space="preserve">REQ_CSP_0007</t>
  </si>
  <si>
    <t xml:space="preserve">Candidate Lifecycle Transfer</t>
  </si>
  <si>
    <t xml:space="preserve">TC011-CE</t>
  </si>
  <si>
    <t xml:space="preserve">REQ_CE_0011</t>
  </si>
  <si>
    <t xml:space="preserve">Career Site Import/Branding Reuse</t>
  </si>
  <si>
    <t xml:space="preserve">12 steps; 2 personas/1 logins; career-site/external UI; config/visibility assertion</t>
  </si>
  <si>
    <t xml:space="preserve">REQ_CE_0012</t>
  </si>
  <si>
    <t xml:space="preserve">12 steps; 2 personas/1 logins; AI/non-deterministic; career-site/external UI</t>
  </si>
  <si>
    <t xml:space="preserve">TC06-INT</t>
  </si>
  <si>
    <t xml:space="preserve">REQ_ING_0006</t>
  </si>
  <si>
    <t xml:space="preserve">Background Check Integration</t>
  </si>
  <si>
    <t xml:space="preserve">TC09-CSP</t>
  </si>
  <si>
    <t xml:space="preserve">REQ_CSP_0008</t>
  </si>
  <si>
    <t xml:space="preserve">Disposition Governance</t>
  </si>
  <si>
    <t xml:space="preserve">12 steps; 3 personas/4 logins; config/visibility assertion</t>
  </si>
  <si>
    <t xml:space="preserve">TC010-CSP</t>
  </si>
  <si>
    <t xml:space="preserve">TC011-CSP</t>
  </si>
  <si>
    <t xml:space="preserve">REQ_CSP_0009</t>
  </si>
  <si>
    <t xml:space="preserve">Recruiter vs HM Ownership</t>
  </si>
  <si>
    <t xml:space="preserve">12 steps; 3 personas/3 logins; config/visibility assertion</t>
  </si>
  <si>
    <t xml:space="preserve">TC012-CSP</t>
  </si>
  <si>
    <t xml:space="preserve">TC013-CSP</t>
  </si>
  <si>
    <t xml:space="preserve">REQ_CSP_0010</t>
  </si>
  <si>
    <t xml:space="preserve">AI - JD to Questions</t>
  </si>
  <si>
    <t xml:space="preserve">TC014-CSP</t>
  </si>
  <si>
    <t xml:space="preserve">REQ_CSP_0011</t>
  </si>
  <si>
    <t xml:space="preserve">Contextualization Rules</t>
  </si>
  <si>
    <t xml:space="preserve">TC015-CSP</t>
  </si>
  <si>
    <t xml:space="preserve">REQ_CSP_0012</t>
  </si>
  <si>
    <t xml:space="preserve">Job Codes / Prescreening Updates</t>
  </si>
  <si>
    <t xml:space="preserve">12 steps; 3 personas/2 logins; career-site/external UI</t>
  </si>
  <si>
    <t xml:space="preserve">TC08-INTM</t>
  </si>
  <si>
    <t xml:space="preserve">REQ_INTM_0007</t>
  </si>
  <si>
    <t xml:space="preserve">Candidate/HM Survey Framework</t>
  </si>
  <si>
    <t xml:space="preserve">12 steps; 2 personas/1 logins</t>
  </si>
  <si>
    <t xml:space="preserve">TC09-INTM</t>
  </si>
  <si>
    <t xml:space="preserve">REQ_INTM_0008</t>
  </si>
  <si>
    <t xml:space="preserve">Survey Reporting</t>
  </si>
  <si>
    <t xml:space="preserve">12 steps; 2 personas/1 logins; report/OTBI</t>
  </si>
  <si>
    <t xml:space="preserve">TC031-JR</t>
  </si>
  <si>
    <t xml:space="preserve">REQ_JR_0023</t>
  </si>
  <si>
    <t xml:space="preserve">Agency Onboarding Governance</t>
  </si>
  <si>
    <t xml:space="preserve">10 steps; 4 personas/1 logins; approval workflow</t>
  </si>
  <si>
    <t xml:space="preserve">TC016-CSP</t>
  </si>
  <si>
    <t xml:space="preserve">REQ_CSP_0013</t>
  </si>
  <si>
    <t xml:space="preserve">Duplicate Check Checkpoints</t>
  </si>
  <si>
    <t xml:space="preserve">TC017-CSP</t>
  </si>
  <si>
    <t xml:space="preserve">12 steps; 2 personas/1 logins; email/notification</t>
  </si>
  <si>
    <t xml:space="preserve">TC018-CSP</t>
  </si>
  <si>
    <t xml:space="preserve">REQ_CSP_0014</t>
  </si>
  <si>
    <t xml:space="preserve">Duplicate Match Logic</t>
  </si>
  <si>
    <t xml:space="preserve">TC019-CSP</t>
  </si>
  <si>
    <t xml:space="preserve">REQ_CSP_0015</t>
  </si>
  <si>
    <t xml:space="preserve">Source Ownership Logic</t>
  </si>
  <si>
    <t xml:space="preserve">12 steps; 3 personas/1 logins; career-site/external UI</t>
  </si>
  <si>
    <t xml:space="preserve">TC020-CSP</t>
  </si>
  <si>
    <t xml:space="preserve">REQ_CSP_0016</t>
  </si>
  <si>
    <t xml:space="preserve">Source Edit Access Control</t>
  </si>
  <si>
    <t xml:space="preserve">11 steps; 2 personas/2 logins</t>
  </si>
  <si>
    <t xml:space="preserve">TC021-CSP</t>
  </si>
  <si>
    <t xml:space="preserve">11 steps; 2 personas/1 logins; config/visibility assertion</t>
  </si>
  <si>
    <t xml:space="preserve">TC022-CSP</t>
  </si>
  <si>
    <t xml:space="preserve">REQ_CSP_0017</t>
  </si>
  <si>
    <t xml:space="preserve">Source Taxonomy</t>
  </si>
  <si>
    <t xml:space="preserve">13 steps; email/notification; report/OTBI</t>
  </si>
  <si>
    <t xml:space="preserve">TC01-SEC</t>
  </si>
  <si>
    <t xml:space="preserve">REQ_SEC_0001</t>
  </si>
  <si>
    <t xml:space="preserve">Agency View Restriction</t>
  </si>
  <si>
    <t xml:space="preserve">10 steps; 2 personas/2 logins; config/visibility assertion</t>
  </si>
  <si>
    <t xml:space="preserve">TC02-SEC</t>
  </si>
  <si>
    <t xml:space="preserve">10 steps; 3 personas/2 logins; config/visibility assertion</t>
  </si>
  <si>
    <t xml:space="preserve">TC023-CSP</t>
  </si>
  <si>
    <t xml:space="preserve">REQ_CSP_0018</t>
  </si>
  <si>
    <t xml:space="preserve">Source Ownership Retention</t>
  </si>
  <si>
    <t xml:space="preserve">REQ_AI_0001</t>
  </si>
  <si>
    <t xml:space="preserve">11 steps; 2 personas/1 logins; career-site/external UI; file/doc handling</t>
  </si>
  <si>
    <t xml:space="preserve">TC07-INT</t>
  </si>
  <si>
    <t xml:space="preserve">REQ_ING_0007</t>
  </si>
  <si>
    <t xml:space="preserve">Document Storage Integration</t>
  </si>
  <si>
    <t xml:space="preserve">12 steps; 3rd-party integration; file/doc handling</t>
  </si>
  <si>
    <t xml:space="preserve">TC08-INT</t>
  </si>
  <si>
    <t xml:space="preserve">REQ_ING_0008</t>
  </si>
  <si>
    <t xml:space="preserve">Onboarding-PeopleSoft Integration</t>
  </si>
  <si>
    <t xml:space="preserve">13 steps; 2 personas/1 logins; 3rd-party integration</t>
  </si>
  <si>
    <t xml:space="preserve">TC09-INT</t>
  </si>
  <si>
    <t xml:space="preserve">REQ_ING_0009</t>
  </si>
  <si>
    <t xml:space="preserve">Document Records - eStorage</t>
  </si>
  <si>
    <t xml:space="preserve">TC013-CE</t>
  </si>
  <si>
    <t xml:space="preserve">REQ_CE_0013</t>
  </si>
  <si>
    <t xml:space="preserve">Duplicate/Prior Application Visibility</t>
  </si>
  <si>
    <t xml:space="preserve">TC03-SEC</t>
  </si>
  <si>
    <t xml:space="preserve">REQ_SEC_0002</t>
  </si>
  <si>
    <t xml:space="preserve">Country/Team Access Restriction</t>
  </si>
  <si>
    <t xml:space="preserve">TC04-SEC</t>
  </si>
  <si>
    <t xml:space="preserve">REQ_RB_0001</t>
  </si>
  <si>
    <t xml:space="preserve">Manual (external channel)</t>
  </si>
  <si>
    <t xml:space="preserve">12 steps; email/notification</t>
  </si>
  <si>
    <t xml:space="preserve">TC024-CSP</t>
  </si>
  <si>
    <t xml:space="preserve">REQ_CSP_0019</t>
  </si>
  <si>
    <t xml:space="preserve">Campus &amp; Event Management</t>
  </si>
  <si>
    <t xml:space="preserve">12 steps; 2 personas/1 logins; 3rd-party integration; bulk/mass action</t>
  </si>
  <si>
    <t xml:space="preserve">REQ_RB_0002</t>
  </si>
  <si>
    <t xml:space="preserve">11 steps; 3rd-party integration; email/notification</t>
  </si>
  <si>
    <t xml:space="preserve">TC022-JO</t>
  </si>
  <si>
    <t xml:space="preserve">REQ_JO_0021</t>
  </si>
  <si>
    <t xml:space="preserve">Salary Data Restriction</t>
  </si>
  <si>
    <t xml:space="preserve">TC023-JO</t>
  </si>
  <si>
    <t xml:space="preserve">TC01-REP</t>
  </si>
  <si>
    <t xml:space="preserve">REQ_REP_0001</t>
  </si>
  <si>
    <t xml:space="preserve">Real-Time Metrics Dashboard</t>
  </si>
  <si>
    <t xml:space="preserve">6 steps; 2 personas/1 logins; report/OTBI</t>
  </si>
  <si>
    <t xml:space="preserve">REQ_AI_0002</t>
  </si>
  <si>
    <t xml:space="preserve">6 steps; 2 personas/1 logins; AI/non-deterministic</t>
  </si>
  <si>
    <t xml:space="preserve">TC032-JR</t>
  </si>
  <si>
    <t xml:space="preserve">REQ_JR_0025</t>
  </si>
  <si>
    <t xml:space="preserve">Recruiter-Owned Process Governance</t>
  </si>
  <si>
    <t xml:space="preserve">6 steps; 4 personas/3 logins</t>
  </si>
  <si>
    <t xml:space="preserve">TC05-SEC</t>
  </si>
  <si>
    <t xml:space="preserve">REQ_SEC_0003</t>
  </si>
  <si>
    <t xml:space="preserve">Interview/Selection/Offer Visibility</t>
  </si>
  <si>
    <t xml:space="preserve">6 steps; 2 personas/3 logins; config/visibility assertion</t>
  </si>
  <si>
    <t xml:space="preserve">REQ_AI_0003</t>
  </si>
  <si>
    <t xml:space="preserve">6 steps; 3 personas/1 logins</t>
  </si>
  <si>
    <t xml:space="preserve">TC02-REP</t>
  </si>
  <si>
    <t xml:space="preserve">REQ_REP_0002</t>
  </si>
  <si>
    <t xml:space="preserve">Admin/MIS Report Restriction</t>
  </si>
  <si>
    <t xml:space="preserve">6 steps; 1 personas/3 logins; report/OTBI; config/visibility assertion</t>
  </si>
  <si>
    <t xml:space="preserve">TC03-REP</t>
  </si>
  <si>
    <t xml:space="preserve">6 steps; 2 personas/1 logins; report/OTBI; config/visibility assertion</t>
  </si>
  <si>
    <t xml:space="preserve">TC06-SEC</t>
  </si>
  <si>
    <t xml:space="preserve">REQ_SEC_0004</t>
  </si>
  <si>
    <t xml:space="preserve">Role-Based Recruiter Assignment</t>
  </si>
  <si>
    <t xml:space="preserve">6 steps; 2 personas/1 logins</t>
  </si>
  <si>
    <t xml:space="preserve">TC07-SEC</t>
  </si>
  <si>
    <t xml:space="preserve">REQ_SEC_0005</t>
  </si>
  <si>
    <t xml:space="preserve">US Collaborator/Recruiter Restrictions</t>
  </si>
  <si>
    <t xml:space="preserve">6 steps; 2 personas/5 logins; config/visibility assertion</t>
  </si>
  <si>
    <t xml:space="preserve">TC08-SEC</t>
  </si>
  <si>
    <t xml:space="preserve">12 steps; 3 personas/2 logins; approval workflow; config/visibility assertion</t>
  </si>
  <si>
    <t xml:space="preserve">TC09-SEC</t>
  </si>
  <si>
    <t xml:space="preserve">REQ_SEC_0006</t>
  </si>
  <si>
    <t xml:space="preserve">US Collaborator Offer Restriction</t>
  </si>
  <si>
    <t xml:space="preserve">12 steps; 2 personas/3 logins; config/visibility assertion</t>
  </si>
  <si>
    <t xml:space="preserve">TC024-JO</t>
  </si>
  <si>
    <t xml:space="preserve">REQ_JO_0022</t>
  </si>
  <si>
    <t xml:space="preserve">Offer Proposal / Dynamic Approvals / Contract Generation</t>
  </si>
  <si>
    <t xml:space="preserve">13 steps; 4 personas/2 logins; approval workflow; file/doc handling</t>
  </si>
  <si>
    <t xml:space="preserve">TC025-JO</t>
  </si>
  <si>
    <t xml:space="preserve">REQ_JO_0023</t>
  </si>
  <si>
    <t xml:space="preserve">Offer Document Library / Mandatory Attachments</t>
  </si>
  <si>
    <t xml:space="preserve">12 steps; 3 personas/1 logins; file/doc handling</t>
  </si>
  <si>
    <t xml:space="preserve">TC026-JO</t>
  </si>
  <si>
    <t xml:space="preserve">REQ_JO_0024</t>
  </si>
  <si>
    <t xml:space="preserve">Offer Letter Compliance / Job Description &amp; Designation</t>
  </si>
  <si>
    <t xml:space="preserve">12 steps; report/OTBI</t>
  </si>
  <si>
    <t xml:space="preserve">TC025-CSP</t>
  </si>
  <si>
    <t xml:space="preserve">REQ_CSP_0020</t>
  </si>
  <si>
    <t xml:space="preserve">Rehire Employee ID Capture / Flow</t>
  </si>
  <si>
    <t xml:space="preserve">9 steps; 2 personas/1 logins; email/notification; report/OTBI; career-site/external UI</t>
  </si>
  <si>
    <t xml:space="preserve">EXISTING FRAMEWORK  —  what carries over to ORC, and what must be built</t>
  </si>
  <si>
    <t xml:space="preserve">Source: github.com/Vishnu-vardhan-401/erp-hcm-regression-testing. This tab is the evidence behind the lower environment set-up and script-development effort in this estimate.</t>
  </si>
  <si>
    <t xml:space="preserve">ASSETS ALREADY BUILT  (reused for ORC)</t>
  </si>
  <si>
    <t xml:space="preserve">Asset</t>
  </si>
  <si>
    <t xml:space="preserve">What it does</t>
  </si>
  <si>
    <t xml:space="preserve">Size</t>
  </si>
  <si>
    <t xml:space="preserve">Reuse for ORC</t>
  </si>
  <si>
    <t xml:space="preserve">Selenium + Cucumber + TestNG + Allure stack</t>
  </si>
  <si>
    <t xml:space="preserve">Selenium 4.40, Cucumber 7.33, TestNG, Allure 2.29, Apache POI — already on a current, supported toolchain.</t>
  </si>
  <si>
    <t xml:space="preserve">pom.xml</t>
  </si>
  <si>
    <t xml:space="preserve">Direct</t>
  </si>
  <si>
    <t xml:space="preserve">Wrapper.java</t>
  </si>
  <si>
    <t xml:space="preserve">30+ reusable interaction methods: waits, JS click, scroll, highlight, Oracle date picker, custom oj- dropdown select, screenshot capture, Allure pass/fail reporting.</t>
  </si>
  <si>
    <t xml:space="preserve">454 lines</t>
  </si>
  <si>
    <t xml:space="preserve">redwoodSync()</t>
  </si>
  <si>
    <t xml:space="preserve">Redwood/JET page-settle helper already in place — the Redwood UI is a solved problem in this framework, not a new risk.</t>
  </si>
  <si>
    <t xml:space="preserve">In Wrapper</t>
  </si>
  <si>
    <t xml:space="preserve">Direct (harden)</t>
  </si>
  <si>
    <t xml:space="preserve">HCMCoreHR.java</t>
  </si>
  <si>
    <t xml:space="preserve">Mature Oracle Fusion page object — 685 locators, overwhelmingly Redwood/JET component-based (oj-select-single ×111, oj-input-text, oj-input-date, oj-switch, oj-table, oj-list-view).</t>
  </si>
  <si>
    <t xml:space="preserve">9,055 lines</t>
  </si>
  <si>
    <t xml:space="preserve">Pattern + locator strategy</t>
  </si>
  <si>
    <t xml:space="preserve">HCMSecurity.java + TileValidationReportUtil</t>
  </si>
  <si>
    <t xml:space="preserve">Generic role/tile visibility validator driven from Excel, with HTML result tables in Allure.</t>
  </si>
  <si>
    <t xml:space="preserve">682 + 295 lines</t>
  </si>
  <si>
    <t xml:space="preserve">Direct — maps to the 9 ORC Security scripts</t>
  </si>
  <si>
    <t xml:space="preserve">ExcelReader + Excel-driven runner</t>
  </si>
  <si>
    <t xml:space="preserve">Key-based Excel lookup plus ExcelDrivenCucumberRunner / ExcelFeaturePicker — test selection and data both driven from a spreadsheet the test team can edit.</t>
  </si>
  <si>
    <t xml:space="preserve">95 + 420 lines</t>
  </si>
  <si>
    <t xml:space="preserve">AllureReportUtil + Hooks</t>
  </si>
  <si>
    <t xml:space="preserve">Screenshot-on-failure, text/HTML/CSV/PNG attachments, scenario tagging and context.</t>
  </si>
  <si>
    <t xml:space="preserve">83 + 39 lines</t>
  </si>
  <si>
    <t xml:space="preserve">Delivered scenarios</t>
  </si>
  <si>
    <t xml:space="preserve">56 Core HR + 27 Security scenarios already automated and reported against an Oracle Fusion pod.</t>
  </si>
  <si>
    <t xml:space="preserve">83 scenarios</t>
  </si>
  <si>
    <t xml:space="preserve">Proof of throughput</t>
  </si>
  <si>
    <t xml:space="preserve">Total framework code in repo</t>
  </si>
  <si>
    <t xml:space="preserve">Across page objects, step definitions, utilities, hooks and runners.</t>
  </si>
  <si>
    <t xml:space="preserve">13,314 lines</t>
  </si>
  <si>
    <t xml:space="preserve">GAPS TO CLOSE  (this is what the "Framework Uplift &amp; Environment Set-up" line pays for)</t>
  </si>
  <si>
    <t xml:space="preserve">Gap</t>
  </si>
  <si>
    <t xml:space="preserve">Why it matters for ORC</t>
  </si>
  <si>
    <t xml:space="preserve">Fix</t>
  </si>
  <si>
    <t xml:space="preserve">Single static WebDriver in BaseClass</t>
  </si>
  <si>
    <t xml:space="preserve">No parallel execution. With 144 scripts and multi-persona flows, serial runs make every regression cycle long.</t>
  </si>
  <si>
    <t xml:space="preserve">Refactor to a ThreadLocal driver.</t>
  </si>
  <si>
    <t xml:space="preserve">driver.quit() after every scenario (Hooks)</t>
  </si>
  <si>
    <t xml:space="preserve">A fresh browser and a fresh Oracle login per scenario — the slowest part of each run.</t>
  </si>
  <si>
    <t xml:space="preserve">Session reuse per persona where the test allows.</t>
  </si>
  <si>
    <t xml:space="preserve">redwoodSync() uses a fixed 4-second sleep</t>
  </si>
  <si>
    <t xml:space="preserve">A hard 4s wait on every call inflates runtime across 144 scripts.</t>
  </si>
  <si>
    <t xml:space="preserve">Replace with a condition-based wait.</t>
  </si>
  <si>
    <t xml:space="preserve">Hardcoded Windows chromedriver paths</t>
  </si>
  <si>
    <t xml:space="preserve">Will not run on a Linux CI agent.</t>
  </si>
  <si>
    <t xml:space="preserve">Selenium Manager / WebDriverManager.</t>
  </si>
  <si>
    <t xml:space="preserve">No ORC/Recruitment page objects</t>
  </si>
  <si>
    <t xml:space="preserve">PageObjectManagerHCM has the Recruitment page object commented out — ORC screens do not exist yet.</t>
  </si>
  <si>
    <t xml:space="preserve">Covered by the component library build below.</t>
  </si>
  <si>
    <t xml:space="preserve">testng.xml is a stub; no CI pipeline in repo</t>
  </si>
  <si>
    <t xml:space="preserve">No scheduled or triggered execution.</t>
  </si>
  <si>
    <t xml:space="preserve">Suite definition plus a CI job.</t>
  </si>
  <si>
    <t xml:space="preserve">COMPONENT / PAGE OBJECT LIBRARY BUILD</t>
  </si>
  <si>
    <t xml:space="preserve">Hours per new component</t>
  </si>
  <si>
    <t xml:space="preserve">Locator discovery on Redwood/JET, page-object methods and stabilisation. Single biggest lever on this tab.</t>
  </si>
  <si>
    <t xml:space="preserve">Functional Area</t>
  </si>
  <si>
    <t xml:space="preserve">Components Required</t>
  </si>
  <si>
    <t xml:space="preserve">Reuse from Existing Framework</t>
  </si>
  <si>
    <t xml:space="preserve">Net New Components</t>
  </si>
  <si>
    <t xml:space="preserve">Hours</t>
  </si>
  <si>
    <t xml:space="preserve">Common / shared (login, navigation, search, dropdowns, dates, upload, notifications, approvals)</t>
  </si>
  <si>
    <t xml:space="preserve">Job Requisition (create/edit, posting, prescreening, activity centre, approvals, status)</t>
  </si>
  <si>
    <t xml:space="preserve">Job Offer (offer create, fields, compensation, approvals, letter &amp; documents, phases)</t>
  </si>
  <si>
    <t xml:space="preserve">Candidate Selection Process (search, profile, disposition, duplicate check, sources, bulk)</t>
  </si>
  <si>
    <t xml:space="preserve">Employee Referral portal (referral form, job search, dashboard, consent, notifications)</t>
  </si>
  <si>
    <t xml:space="preserve">Candidate Experience / career site (easy apply, talent community, question sets, branding)</t>
  </si>
  <si>
    <t xml:space="preserve">Interview Management (scheduling, feedback templates, panel, surveys)</t>
  </si>
  <si>
    <t xml:space="preserve">Security (role / tile visibility)</t>
  </si>
  <si>
    <t xml:space="preserve">Reporting &amp; Analytics (OTBI)</t>
  </si>
  <si>
    <t xml:space="preserve">Integration boundary / stubs</t>
  </si>
  <si>
    <t xml:space="preserve">Reuse % basis:</t>
  </si>
  <si>
    <t xml:space="preserve">Common and Security are high because Wrapper, BaseClass, ExcelReader, AllureReportUtil, HCMSecurity and TileValidationReportUtil already deliver that behaviour against Oracle Fusion. The ORC transaction screens (requisition, candidate, offer, referral portal, career site) do not exist in the framework and are costed as new, with a small credit for shared UI patterns.</t>
  </si>
  <si>
    <t xml:space="preserve">TEST AUTOMATION ESTIMATION  —  ATS Oracle Recruiting Cloud (ORC)</t>
  </si>
  <si>
    <t xml:space="preserve">Approach: extend the existing Selenium 4.40 + Cucumber + TestNG + Allure framework   |   Scope identical to the UiPath estimate   |   Blue/shaded cells are inputs.</t>
  </si>
  <si>
    <t xml:space="preserve">Effort Splitup</t>
  </si>
  <si>
    <t xml:space="preserve">Automation Activities</t>
  </si>
  <si>
    <t xml:space="preserve">Activity Description</t>
  </si>
  <si>
    <t xml:space="preserve">Estimated Hours
(Phase I)</t>
  </si>
  <si>
    <t xml:space="preserve">No. of Scripts</t>
  </si>
  <si>
    <t xml:space="preserve">Rate</t>
  </si>
  <si>
    <t xml:space="preserve">Basis</t>
  </si>
  <si>
    <t xml:space="preserve">KT / Automation Planning</t>
  </si>
  <si>
    <t xml:space="preserve">Identification and knowledge transfer of the ORC test scripts to the automation team; walkthrough of Fit/Gap V1.1 and the recruiting business processes. Tool-independent — unchanged from the UiPath estimate.</t>
  </si>
  <si>
    <t xml:space="preserve">Minutes per script</t>
  </si>
  <si>
    <t xml:space="preserve">Total in hrs</t>
  </si>
  <si>
    <t xml:space="preserve">Framework Uplift &amp; Environment Set-up</t>
  </si>
  <si>
    <t xml:space="preserve">ThreadLocal driver refactor for parallel execution, session reuse in Hooks, condition-based redwoodSync, Selenium Manager for cross-platform drivers, ORC pod configuration and test-user wiring, TestNG suite definition and CI pipeline. No tool licensing or install — the framework already exists.</t>
  </si>
  <si>
    <t xml:space="preserve">vs 56 hrs on UiPath</t>
  </si>
  <si>
    <t xml:space="preserve">Component / Page Object Library Build</t>
  </si>
  <si>
    <t xml:space="preserve">One-time build of the ORC page objects and reusable components, net of what the existing framework already provides. Sized area by area on the "Framework Reuse" tab.</t>
  </si>
  <si>
    <t xml:space="preserve">From "Framework Reuse"</t>
  </si>
  <si>
    <t xml:space="preserve">Automation Script Development</t>
  </si>
  <si>
    <t xml:space="preserve">1. Prepare Automation Test Plan
2. Write feature files and step definitions per test script
3. Prepare test data template(s)
Rates assume the component library above is in place, so scripting is assembly of existing page-object methods.</t>
  </si>
  <si>
    <t xml:space="preserve">Days per script</t>
  </si>
  <si>
    <t xml:space="preserve">No. of scripts / day</t>
  </si>
  <si>
    <t xml:space="preserve">Test Plan &amp; Data Templates (hrs)</t>
  </si>
  <si>
    <t xml:space="preserve">Automation Execution (Dry Run)</t>
  </si>
  <si>
    <t xml:space="preserve">1. Prepare test data and populate the Excel test data template(s)
2. Dry-run execution, defect triage and script stabilisation. Rates assume parallel execution is available after the framework uplift.</t>
  </si>
  <si>
    <t xml:space="preserve">Project Management</t>
  </si>
  <si>
    <t xml:space="preserve">Automation test management, planning, status reporting, governance and stakeholder co-ordination.</t>
  </si>
  <si>
    <t xml:space="preserve">of build effort</t>
  </si>
  <si>
    <t xml:space="preserve">Contingency</t>
  </si>
  <si>
    <t xml:space="preserve">Contingency for environment non-availability, ORC quarterly update impact and rework. Held at 5% for comparability — see the sensitivity block below.</t>
  </si>
  <si>
    <t xml:space="preserve">of effort incl. PM</t>
  </si>
  <si>
    <t xml:space="preserve">Overall Effort (Hours)</t>
  </si>
  <si>
    <t xml:space="preserve">Total Person Days</t>
  </si>
  <si>
    <t xml:space="preserve">1 person day = 8 hrs</t>
  </si>
  <si>
    <t xml:space="preserve">Total Person Weeks</t>
  </si>
  <si>
    <t xml:space="preserve">1 person week = 5 days</t>
  </si>
  <si>
    <t xml:space="preserve">Total Person Months</t>
  </si>
  <si>
    <t xml:space="preserve">1 month = 4 weeks (per source model)</t>
  </si>
  <si>
    <t xml:space="preserve">Estimated Resources (Automation Engineers)</t>
  </si>
  <si>
    <t xml:space="preserve">Flex this cell, or see "Resourcing Scenarios"</t>
  </si>
  <si>
    <t xml:space="preserve">Duration (in Weeks)</t>
  </si>
  <si>
    <t xml:space="preserve">Months</t>
  </si>
  <si>
    <t xml:space="preserve">CONTINGENCY SENSITIVITY</t>
  </si>
  <si>
    <t xml:space="preserve">Contingency %</t>
  </si>
  <si>
    <t xml:space="preserve">Person Weeks</t>
  </si>
  <si>
    <t xml:space="preserve">Duration @ 3 engineers (weeks)</t>
  </si>
  <si>
    <t xml:space="preserve">Comparable with the UiPath estimate.</t>
  </si>
  <si>
    <t xml:space="preserve">Reflects a code-based framework carrying its own locator maintenance.</t>
  </si>
  <si>
    <t xml:space="preserve">Prudent if ORC configuration is still moving during the build.</t>
  </si>
  <si>
    <t xml:space="preserve">RESOURCING SCENARIOS  —  effort is fixed, only elapsed time changes</t>
  </si>
  <si>
    <t xml:space="preserve">Total effort from the "Overall Estimation" tab is constant across all three scenarios. Adding engineers compresses the calendar but costs more in co-ordination, which the efficiency factor reflects.</t>
  </si>
  <si>
    <t xml:space="preserve">SQUAD COMPOSITION</t>
  </si>
  <si>
    <t xml:space="preserve">Role</t>
  </si>
  <si>
    <t xml:space="preserve">Scenario A
Lean</t>
  </si>
  <si>
    <t xml:space="preserve">Scenario B
Balanced</t>
  </si>
  <si>
    <t xml:space="preserve">Scenario C
Accelerated</t>
  </si>
  <si>
    <t xml:space="preserve">Counts as automation engineer?</t>
  </si>
  <si>
    <t xml:space="preserve">Automation Test Manager</t>
  </si>
  <si>
    <t xml:space="preserve">Senior Automation Tester (Java/Selenium)</t>
  </si>
  <si>
    <t xml:space="preserve">Automation Tester (Java/Selenium)</t>
  </si>
  <si>
    <t xml:space="preserve">Functional SME / BA (ORC)</t>
  </si>
  <si>
    <t xml:space="preserve">Automation Engineers (build capacity)</t>
  </si>
  <si>
    <t xml:space="preserve">Senior + Testers</t>
  </si>
  <si>
    <t xml:space="preserve">Total Squad Size</t>
  </si>
  <si>
    <t xml:space="preserve">DURATION BY SCENARIO</t>
  </si>
  <si>
    <t xml:space="preserve">Scenario</t>
  </si>
  <si>
    <t xml:space="preserve">Automation Engineers</t>
  </si>
  <si>
    <t xml:space="preserve">Team Efficiency Factor</t>
  </si>
  <si>
    <t xml:space="preserve">Effective Capacity (FTE)</t>
  </si>
  <si>
    <t xml:space="preserve">Computed Duration (Weeks)</t>
  </si>
  <si>
    <t xml:space="preserve">Planned Duration (Weeks)</t>
  </si>
  <si>
    <t xml:space="preserve">Planned Duration (Months)</t>
  </si>
  <si>
    <t xml:space="preserve">Guidance</t>
  </si>
  <si>
    <t xml:space="preserve">A — Lean  (Recommended)</t>
  </si>
  <si>
    <t xml:space="preserve">Mirrors the 3-engineer default. The component library is the critical path — one senior engineer owning it keeps the page objects consistent.</t>
  </si>
  <si>
    <t xml:space="preserve">B — Balanced</t>
  </si>
  <si>
    <t xml:space="preserve">Use when the SIT/UAT window is tight. Split the component library by module across two seniors, with a shared locator convention agreed up front.</t>
  </si>
  <si>
    <t xml:space="preserve">C — Accelerated</t>
  </si>
  <si>
    <t xml:space="preserve">Only viable if the component library is complete before the extra testers join — five people writing page objects in parallel will duplicate locators.</t>
  </si>
  <si>
    <t xml:space="preserve">Total effort (person weeks) — constant</t>
  </si>
  <si>
    <t xml:space="preserve">Effort does not fall as the team grows; only elapsed time does.</t>
  </si>
  <si>
    <t xml:space="preserve">Serial floor (weeks)</t>
  </si>
  <si>
    <t xml:space="preserve">Framework uplift, KT and final sign-off cannot be parallelised. Lower than the UiPath floor because no tool install or Orchestrator setup is needed.</t>
  </si>
  <si>
    <t xml:space="preserve">DELIVERY TIMELINE  —  Scenario A (Lean: 3 automation engineers, ~10 weeks)</t>
  </si>
  <si>
    <t xml:space="preserve">Indicative phasing. Weeks are relative to automation kick-off, not calendar dates.</t>
  </si>
  <si>
    <t xml:space="preserve">PHASE PLAN</t>
  </si>
  <si>
    <t xml:space="preserve">Phase</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</si>
  <si>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</si>
  <si>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</si>
  <si>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</si>
  <si>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</si>
  <si>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</si>
  <si>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</si>
  <si>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</si>
  <si>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</si>
  <si>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</si>
  <si>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</si>
  <si>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Analyse manual test suite &amp; KT on ORC business processes</t>
  </si>
  <si>
    <t xml:space="preserve">Framework uplift (ThreadLocal, Selenium Manager, CI, ORC config)</t>
  </si>
  <si>
    <t xml:space="preserve">Build ORC component / page object library</t>
  </si>
  <si>
    <t xml:space="preserve">Write feature files &amp; step definitions</t>
  </si>
  <si>
    <t xml:space="preserve">Dry run of automation scripts</t>
  </si>
  <si>
    <t xml:space="preserve">Defect triage &amp; script stabilisation</t>
  </si>
  <si>
    <t xml:space="preserve">Suite sign-off &amp; user guide</t>
  </si>
  <si>
    <t xml:space="preserve">RESOURCE RAMP  (headcount by month, 1 month = 4 weeks)</t>
  </si>
  <si>
    <t xml:space="preserve">Month 1</t>
  </si>
  <si>
    <t xml:space="preserve">Month 2</t>
  </si>
  <si>
    <t xml:space="preserve">Month 3</t>
  </si>
  <si>
    <t xml:space="preserve">Note: the senior engineer owns the component library end to end so locator conventions stay consistent. The Functional SME steps down once script design is signed off.</t>
  </si>
  <si>
    <t xml:space="preserve">TOOL COMPARISON  —  UiPath Test Suite vs extending the existing framework</t>
  </si>
  <si>
    <t xml:space="preserve">UiPath figures are carried across from ATS_ORC_Automation_Estimation_UiPath_V1.0.xlsx and are entered as constants (blue). Selenium figures are live formulas from this workbook. Both cover the same 144 in-scope scripts.</t>
  </si>
  <si>
    <t xml:space="preserve">QUANTITATIVE</t>
  </si>
  <si>
    <t xml:space="preserve">Measure</t>
  </si>
  <si>
    <t xml:space="preserve">UiPath Test Suite</t>
  </si>
  <si>
    <t xml:space="preserve">Extend Existing Framework</t>
  </si>
  <si>
    <t xml:space="preserve">Difference</t>
  </si>
  <si>
    <t xml:space="preserve">Overall effort (hours)</t>
  </si>
  <si>
    <t xml:space="preserve">Total person days</t>
  </si>
  <si>
    <t xml:space="preserve">Total person weeks</t>
  </si>
  <si>
    <t xml:space="preserve">Environment / framework set-up (hours)</t>
  </si>
  <si>
    <t xml:space="preserve">Duration @ 5 engineers (weeks)</t>
  </si>
  <si>
    <t xml:space="preserve">Effort per in-scope script (hours)</t>
  </si>
  <si>
    <t xml:space="preserve">Saving vs UiPath</t>
  </si>
  <si>
    <t xml:space="preserve">QUALITATIVE</t>
  </si>
  <si>
    <t xml:space="preserve">Dimension</t>
  </si>
  <si>
    <t xml:space="preserve">Tool licence cost</t>
  </si>
  <si>
    <t xml:space="preserve">Per-seat Studio and Test Manager plus Orchestrator. Not costed in either estimate — add it here.</t>
  </si>
  <si>
    <t xml:space="preserve">Nil. Open-source stack already in use.</t>
  </si>
  <si>
    <t xml:space="preserve">Reusable assets on day 1</t>
  </si>
  <si>
    <t xml:space="preserve">None specific to ORC. Object repository built from scratch.</t>
  </si>
  <si>
    <t xml:space="preserve">13,314 lines of framework code, 685 Redwood-aware locators, 30+ wrapper methods, Excel data layer, Allure reporting.</t>
  </si>
  <si>
    <t xml:space="preserve">Proven on Oracle Fusion?</t>
  </si>
  <si>
    <t xml:space="preserve">Vendor-supported, but unproven in this team.</t>
  </si>
  <si>
    <t xml:space="preserve">Yes — 83 scenarios already delivered against an Oracle Fusion pod.</t>
  </si>
  <si>
    <t xml:space="preserve">Redwood / JET handling</t>
  </si>
  <si>
    <t xml:space="preserve">Vendor-maintained Oracle selectors.</t>
  </si>
  <si>
    <t xml:space="preserve">redwoodSync() plus oj-component locator strategy already proven on Core HR.</t>
  </si>
  <si>
    <t xml:space="preserve">Skills required</t>
  </si>
  <si>
    <t xml:space="preserve">UiPath Studio. Lower barrier, easier to staff from outside the team.</t>
  </si>
  <si>
    <t xml:space="preserve">Java, Selenium, Cucumber. The team already has this; harder to backfill.</t>
  </si>
  <si>
    <t xml:space="preserve">Parallel execution</t>
  </si>
  <si>
    <t xml:space="preserve">Orchestrator, out of the box.</t>
  </si>
  <si>
    <t xml:space="preserve">Needs the ThreadLocal refactor — included in the 32-hour uplift.</t>
  </si>
  <si>
    <t xml:space="preserve">CI/CD</t>
  </si>
  <si>
    <t xml:space="preserve">Orchestrator scheduling and dashboards.</t>
  </si>
  <si>
    <t xml:space="preserve">Maven + TestNG on any standard CI. Pipeline not yet in the repo.</t>
  </si>
  <si>
    <t xml:space="preserve">Maintenance model</t>
  </si>
  <si>
    <t xml:space="preserve">Vendor absorbs some UI change; licence renews annually.</t>
  </si>
  <si>
    <t xml:space="preserve">Team owns every locator. Cheaper to run, but the burden is real and needs funding.</t>
  </si>
  <si>
    <t xml:space="preserve">Vendor support</t>
  </si>
  <si>
    <t xml:space="preserve">Yes, with SLAs.</t>
  </si>
  <si>
    <t xml:space="preserve">Community only.</t>
  </si>
  <si>
    <t xml:space="preserve">Principal risk</t>
  </si>
  <si>
    <t xml:space="preserve">Licence cost and lock-in; a second asset base to maintain alongside the existing one.</t>
  </si>
  <si>
    <t xml:space="preserve">Maintenance capacity. If the team that owns the framework moves on, the suite decays.</t>
  </si>
  <si>
    <t xml:space="preserve">Read this as:</t>
  </si>
  <si>
    <t xml:space="preserve">Extending the framework is cheaper and faster because the hard part — a Redwood-aware Oracle Fusion automation layer — already exists and is proven. The trade is that all maintenance sits with your team. UiPath buys vendor support and easier staffing, at licence cost and with no reuse of what is already built.</t>
  </si>
  <si>
    <t xml:space="preserve">ASSUMPTIONS, EXCLUSIONS &amp; RISKS</t>
  </si>
  <si>
    <t xml:space="preserve">BASIS OF ESTIMATE</t>
  </si>
  <si>
    <t xml:space="preserve">Scope source</t>
  </si>
  <si>
    <t xml:space="preserve">ATS_ORC_Test_Script_Register_20AUG26.xlsx — 152 test scripts derived from ATS - ORC - Fit/Gap V1.1, prepared by Tejal Dalavi, 17-Aug-2026.</t>
  </si>
  <si>
    <t xml:space="preserve">Estimation model</t>
  </si>
  <si>
    <t xml:space="preserve">Activity structure from HGV_Automation Estimation_Uipath_V1.0.xlsx, with the build split into a one-time component library plus per-script scripting — the accurate shape for a code-based framework.</t>
  </si>
  <si>
    <t xml:space="preserve">Delivery approach</t>
  </si>
  <si>
    <t xml:space="preserve">Extend the existing Selenium 4.40 + Cucumber 7.33 + TestNG + Allure framework (github.com/Vishnu-vardhan-401/erp-hcm-regression-testing).</t>
  </si>
  <si>
    <t xml:space="preserve">What changed from the UiPath estimate</t>
  </si>
  <si>
    <t xml:space="preserve">Environment set-up 56 → 32 hrs, a separately sized component library net of existing reuse, and faster per-script rates once page objects exist. KT, scope and complexity banding are unchanged.</t>
  </si>
  <si>
    <t xml:space="preserve">ASSUMPTIONS</t>
  </si>
  <si>
    <t xml:space="preserve">The existing framework repository is available to the ORC team, and the engineers who built it are available for handover.</t>
  </si>
  <si>
    <t xml:space="preserve">A working ORC test instance is available for the full duration, with stable configuration and no mid-build re-implementation of recruiting flows.</t>
  </si>
  <si>
    <t xml:space="preserve">Test users are provisioned up front for every persona in the register — Recruiter, Hiring Manager, Employee/Referrer, Candidate, Interviewer, Agency and Administrator — with passwords that do not expire during the engagement.</t>
  </si>
  <si>
    <t xml:space="preserve">The 152 scripts are baselined before automation begins. The register itself notes that test steps, preconditions, test data and expected results are still to be edited and reviewed.</t>
  </si>
  <si>
    <t xml:space="preserve">Component-library rates assume the page objects follow the existing convention (contains(@id, ...) on oj- components) rather than positional XPath.</t>
  </si>
  <si>
    <t xml:space="preserve">Per-script rates assume the relevant page objects exist before scripting starts for that module — hence the phase overlap on the "Resourcing Model" tab.</t>
  </si>
  <si>
    <t xml:space="preserve">Engineers are already skilled in Java, Selenium and Cucumber. No tool training is included.</t>
  </si>
  <si>
    <t xml:space="preserve">One person day = 8 hours, one person week = 5 days, one month = 4 weeks.</t>
  </si>
  <si>
    <t xml:space="preserve">Effort covers build and dry run only (Phase I). Regression execution cycles after handover are estimated separately.</t>
  </si>
  <si>
    <t xml:space="preserve">Third-party integration scripts (Talview, Mercer Belong, PeopleSoft, background check, e-storage) are automated against stubs or a vendor sandbox; if neither is available these 9 scripts move to manual.</t>
  </si>
  <si>
    <t xml:space="preserve">EXCLUSIONS</t>
  </si>
  <si>
    <t xml:space="preserve">Performance, load, security-penetration and accessibility testing.</t>
  </si>
  <si>
    <t xml:space="preserve">Manual SIT/UAT execution effort, and the 8 scripts listed as excluded on the "Scope" tab.</t>
  </si>
  <si>
    <t xml:space="preserve">Infrastructure, CI runner and browser-grid hosting costs.</t>
  </si>
  <si>
    <t xml:space="preserve">Test management tool licences and configuration.</t>
  </si>
  <si>
    <t xml:space="preserve">Post-handover regression execution and maintenance for Oracle quarterly updates.</t>
  </si>
  <si>
    <t xml:space="preserve">Retrofitting the Core HR and Security suites onto the uplifted framework.</t>
  </si>
  <si>
    <t xml:space="preserve">Automation of ORC configuration/setup itself (Setup and Maintenance tasks).</t>
  </si>
  <si>
    <t xml:space="preserve">RISKS</t>
  </si>
  <si>
    <t xml:space="preserve">Risk</t>
  </si>
  <si>
    <t xml:space="preserve">Impact if it materialises</t>
  </si>
  <si>
    <t xml:space="preserve">Mitigation</t>
  </si>
  <si>
    <t xml:space="preserve">Test scripts are not yet baselined — the register flags steps, data and expected results as still to be reviewed.</t>
  </si>
  <si>
    <t xml:space="preserve">Rework of built scripts; the largest single threat to the estimate.</t>
  </si>
  <si>
    <t xml:space="preserve">Gate the build on a signed-off script; sequence modules so stable ones are automated first.</t>
  </si>
  <si>
    <t xml:space="preserve">All locator maintenance sits with the team — no vendor absorbs Oracle UI change.</t>
  </si>
  <si>
    <t xml:space="preserve">Suite decays across the four Oracle quarterly updates a year if maintenance is unfunded.</t>
  </si>
  <si>
    <t xml:space="preserve">Fund a maintenance retainer at handover; run against each Oracle update preview environment; keep locators centralised in page objects.</t>
  </si>
  <si>
    <t xml:space="preserve">Component library is the critical path — scripting cannot start on a module until its page objects exist.</t>
  </si>
  <si>
    <t xml:space="preserve">Adding testers early produces idle capacity or duplicated locators.</t>
  </si>
  <si>
    <t xml:space="preserve">One senior engineer owns the library; stagger module starts as the phase plan shows.</t>
  </si>
  <si>
    <t xml:space="preserve">Key-person dependency on the engineers who built the existing framework.</t>
  </si>
  <si>
    <t xml:space="preserve">Reuse assumptions collapse; effort trends back toward a from-scratch build.</t>
  </si>
  <si>
    <t xml:space="preserve">Book handover time explicitly; document the locator convention and wrapper API before build starts.</t>
  </si>
  <si>
    <t xml:space="preserve">redwoodSync() currently uses a fixed 4-second sleep, and a browser is launched per scenario.</t>
  </si>
  <si>
    <t xml:space="preserve">Dry run and every later regression cycle run far slower than they need to.</t>
  </si>
  <si>
    <t xml:space="preserve">Included in the 32-hour uplift: condition-based waits, ThreadLocal driver, session reuse.</t>
  </si>
  <si>
    <t xml:space="preserve">Third-party integration sandboxes (Talview, Mercer Belong, PeopleSoft, background check) may be unavailable.</t>
  </si>
  <si>
    <t xml:space="preserve">9 Complex scripts cannot be automated end to end; coverage drops.</t>
  </si>
  <si>
    <t xml:space="preserve">Confirm sandbox availability before build; otherwise stub the boundary and assert only ORC-side behaviour.</t>
  </si>
  <si>
    <t xml:space="preserve">Test users and role provisioning delayed across the recruiting personas.</t>
  </si>
  <si>
    <t xml:space="preserve">Blocks build and dry run — most scripts need two or more personas.</t>
  </si>
  <si>
    <t xml:space="preserve">Raise provisioning as a week-1 dependency with named owners.</t>
  </si>
</sst>
</file>

<file path=xl/styles.xml><?xml version="1.0" encoding="utf-8"?>
<styleSheet xmlns="http://schemas.openxmlformats.org/spreadsheetml/2006/main">
  <numFmts count="10">
    <numFmt numFmtId="164" formatCode="General"/>
    <numFmt numFmtId="165" formatCode="#,##0"/>
    <numFmt numFmtId="166" formatCode="#,##0.0"/>
    <numFmt numFmtId="167" formatCode="0.0%"/>
    <numFmt numFmtId="168" formatCode="0%"/>
    <numFmt numFmtId="169" formatCode="#,##0.00"/>
    <numFmt numFmtId="170" formatCode="0.00"/>
    <numFmt numFmtId="171" formatCode="0.0"/>
    <numFmt numFmtId="172" formatCode="\+#,##0.0;\-#,##0.0"/>
    <numFmt numFmtId="173" formatCode="\+#,##0.00;\-#,##0.00"/>
  </numFmts>
  <fonts count="1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sz val="12"/>
      <color rgb="FFFFFFFF"/>
      <name val="Arial"/>
      <family val="0"/>
      <charset val="1"/>
    </font>
    <font>
      <b val="true"/>
      <sz val="11"/>
      <color rgb="FF1F3864"/>
      <name val="Arial"/>
      <family val="0"/>
      <charset val="1"/>
    </font>
    <font>
      <b val="true"/>
      <sz val="10"/>
      <color rgb="FF000000"/>
      <name val="Arial"/>
      <family val="0"/>
      <charset val="1"/>
    </font>
    <font>
      <sz val="10"/>
      <color rgb="FF000000"/>
      <name val="Arial"/>
      <family val="0"/>
      <charset val="1"/>
    </font>
    <font>
      <b val="true"/>
      <sz val="11"/>
      <color rgb="FF000000"/>
      <name val="Arial"/>
      <family val="0"/>
      <charset val="1"/>
    </font>
    <font>
      <b val="true"/>
      <sz val="12"/>
      <color rgb="FF000000"/>
      <name val="Arial"/>
      <family val="0"/>
      <charset val="1"/>
    </font>
    <font>
      <i val="true"/>
      <sz val="9"/>
      <color rgb="FF000000"/>
      <name val="Arial"/>
      <family val="0"/>
      <charset val="1"/>
    </font>
    <font>
      <sz val="9"/>
      <color rgb="FF000000"/>
      <name val="Arial"/>
      <family val="0"/>
      <charset val="1"/>
    </font>
    <font>
      <b val="true"/>
      <sz val="10"/>
      <color rgb="FF0000FF"/>
      <name val="Arial"/>
      <family val="0"/>
      <charset val="1"/>
    </font>
    <font>
      <b val="true"/>
      <sz val="14"/>
      <color rgb="FFFFFFFF"/>
      <name val="Arial"/>
      <family val="0"/>
      <charset val="1"/>
    </font>
    <font>
      <b val="true"/>
      <sz val="10"/>
      <color rgb="FFFFFFFF"/>
      <name val="Arial"/>
      <family val="0"/>
      <charset val="1"/>
    </font>
    <font>
      <b val="true"/>
      <sz val="9"/>
      <color rgb="FF000000"/>
      <name val="Arial"/>
      <family val="0"/>
      <charset val="1"/>
    </font>
    <font>
      <sz val="10"/>
      <color rgb="FF008000"/>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D9E2F3"/>
        <bgColor rgb="FFE2EFDA"/>
      </patternFill>
    </fill>
    <fill>
      <patternFill patternType="solid">
        <fgColor rgb="FFF2F2F2"/>
        <bgColor rgb="FFEDF2FA"/>
      </patternFill>
    </fill>
    <fill>
      <patternFill patternType="solid">
        <fgColor rgb="FFEDF2FA"/>
        <bgColor rgb="FFF2F2F2"/>
      </patternFill>
    </fill>
    <fill>
      <patternFill patternType="solid">
        <fgColor rgb="FFFFF2CC"/>
        <bgColor rgb="FFFCE4E4"/>
      </patternFill>
    </fill>
    <fill>
      <patternFill patternType="solid">
        <fgColor rgb="FFE2EFDA"/>
        <bgColor rgb="FFF2F2F2"/>
      </patternFill>
    </fill>
    <fill>
      <patternFill patternType="solid">
        <fgColor rgb="FFFCE4E4"/>
        <bgColor rgb="FFF2F2F2"/>
      </patternFill>
    </fill>
    <fill>
      <patternFill patternType="solid">
        <fgColor rgb="FF2E8B8B"/>
        <bgColor rgb="FF0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4" borderId="0" xfId="0" applyFont="true" applyBorder="true" applyAlignment="true" applyProtection="false">
      <alignment horizontal="general" vertical="center" textRotation="0" wrapText="false" indent="1"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0" fillId="7"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6" fontId="10" fillId="7" borderId="1" xfId="0" applyFont="true" applyBorder="true" applyAlignment="true" applyProtection="false">
      <alignment horizontal="center" vertical="center" textRotation="0" wrapText="false" indent="0" shrinkToFit="false"/>
      <protection locked="true" hidden="false"/>
    </xf>
    <xf numFmtId="167" fontId="10" fillId="8"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7" fontId="8" fillId="6"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left" vertical="top" textRotation="0" wrapText="false" indent="0" shrinkToFit="false"/>
      <protection locked="true" hidden="false"/>
    </xf>
    <xf numFmtId="164" fontId="16" fillId="8" borderId="1" xfId="0" applyFont="true" applyBorder="true" applyAlignment="true" applyProtection="false">
      <alignment horizontal="center" vertical="top" textRotation="0" wrapText="false" indent="0" shrinkToFit="false"/>
      <protection locked="true" hidden="false"/>
    </xf>
    <xf numFmtId="164" fontId="16" fillId="7" borderId="1" xfId="0" applyFont="true" applyBorder="true" applyAlignment="true" applyProtection="false">
      <alignment horizontal="center" vertical="top" textRotation="0" wrapText="false" indent="0" shrinkToFit="false"/>
      <protection locked="true" hidden="false"/>
    </xf>
    <xf numFmtId="164" fontId="16" fillId="9"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8" fontId="13" fillId="7"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70" fontId="13" fillId="7"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71" fontId="13" fillId="7" borderId="1" xfId="0" applyFont="true" applyBorder="true" applyAlignment="true" applyProtection="false">
      <alignment horizontal="center" vertical="center" textRotation="0" wrapText="false" indent="0" shrinkToFit="false"/>
      <protection locked="true" hidden="false"/>
    </xf>
    <xf numFmtId="171" fontId="7"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71" fontId="7" fillId="6" borderId="1" xfId="0" applyFont="true" applyBorder="true" applyAlignment="true" applyProtection="false">
      <alignment horizontal="center" vertical="center" textRotation="0" wrapText="false" indent="0" shrinkToFit="false"/>
      <protection locked="true" hidden="false"/>
    </xf>
    <xf numFmtId="171" fontId="8" fillId="0" borderId="1" xfId="0" applyFont="true" applyBorder="true" applyAlignment="true" applyProtection="false">
      <alignment horizontal="center" vertical="center"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17" fillId="0" borderId="1" xfId="0" applyFont="true" applyBorder="true" applyAlignment="true" applyProtection="false">
      <alignment horizontal="center" vertical="center" textRotation="0" wrapText="false" indent="0" shrinkToFit="false"/>
      <protection locked="true" hidden="false"/>
    </xf>
    <xf numFmtId="169" fontId="7" fillId="6" borderId="1" xfId="0" applyFont="true" applyBorder="true" applyAlignment="true" applyProtection="false">
      <alignment horizontal="center" vertical="center" textRotation="0" wrapText="false" indent="0" shrinkToFit="false"/>
      <protection locked="true" hidden="false"/>
    </xf>
    <xf numFmtId="173" fontId="17" fillId="0"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E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F2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2E8B8B"/>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3" min="3" style="0" width="46"/>
    <col collapsed="false" customWidth="true" hidden="false" outlineLevel="0" max="4" min="4" style="0" width="20"/>
    <col collapsed="false" customWidth="true" hidden="false" outlineLevel="0" max="5" min="5" style="0" width="26"/>
    <col collapsed="false" customWidth="true" hidden="false" outlineLevel="0" max="6" min="6" style="0" width="3"/>
  </cols>
  <sheetData>
    <row r="2" customFormat="false" ht="42" hidden="false" customHeight="true" outlineLevel="0" collapsed="false">
      <c r="B2" s="1" t="s">
        <v>0</v>
      </c>
      <c r="C2" s="1"/>
      <c r="D2" s="1"/>
      <c r="E2" s="1"/>
    </row>
    <row r="3" customFormat="false" ht="27.75" hidden="false" customHeight="true" outlineLevel="0" collapsed="false">
      <c r="B3" s="2" t="s">
        <v>1</v>
      </c>
      <c r="C3" s="2"/>
      <c r="D3" s="2"/>
      <c r="E3" s="2"/>
    </row>
    <row r="5" customFormat="false" ht="19.5" hidden="false" customHeight="true" outlineLevel="0" collapsed="false">
      <c r="B5" s="3" t="s">
        <v>2</v>
      </c>
      <c r="C5" s="3"/>
      <c r="D5" s="3"/>
      <c r="E5" s="3"/>
    </row>
    <row r="6" customFormat="false" ht="15" hidden="false" customHeight="false" outlineLevel="0" collapsed="false">
      <c r="B6" s="4" t="s">
        <v>3</v>
      </c>
      <c r="C6" s="5" t="s">
        <v>4</v>
      </c>
      <c r="D6" s="5"/>
      <c r="E6" s="5"/>
    </row>
    <row r="7" customFormat="false" ht="15" hidden="false" customHeight="false" outlineLevel="0" collapsed="false">
      <c r="B7" s="4" t="s">
        <v>5</v>
      </c>
      <c r="C7" s="5" t="s">
        <v>6</v>
      </c>
      <c r="D7" s="5"/>
      <c r="E7" s="5"/>
    </row>
    <row r="8" customFormat="false" ht="15" hidden="false" customHeight="false" outlineLevel="0" collapsed="false">
      <c r="B8" s="4" t="s">
        <v>7</v>
      </c>
      <c r="C8" s="5" t="s">
        <v>8</v>
      </c>
      <c r="D8" s="5"/>
      <c r="E8" s="5"/>
    </row>
    <row r="9" customFormat="false" ht="15" hidden="false" customHeight="false" outlineLevel="0" collapsed="false">
      <c r="B9" s="4" t="s">
        <v>9</v>
      </c>
      <c r="C9" s="5" t="s">
        <v>10</v>
      </c>
      <c r="D9" s="5"/>
      <c r="E9" s="5"/>
    </row>
    <row r="10" customFormat="false" ht="15" hidden="false" customHeight="false" outlineLevel="0" collapsed="false">
      <c r="B10" s="4" t="s">
        <v>11</v>
      </c>
      <c r="C10" s="5" t="s">
        <v>12</v>
      </c>
      <c r="D10" s="5"/>
      <c r="E10" s="5"/>
    </row>
    <row r="11" customFormat="false" ht="15" hidden="false" customHeight="false" outlineLevel="0" collapsed="false">
      <c r="B11" s="4" t="s">
        <v>13</v>
      </c>
      <c r="C11" s="5" t="s">
        <v>14</v>
      </c>
      <c r="D11" s="5"/>
      <c r="E11" s="5"/>
    </row>
    <row r="12" customFormat="false" ht="15" hidden="false" customHeight="false" outlineLevel="0" collapsed="false">
      <c r="B12" s="4" t="s">
        <v>15</v>
      </c>
      <c r="C12" s="5" t="s">
        <v>16</v>
      </c>
      <c r="D12" s="5"/>
      <c r="E12" s="5"/>
    </row>
    <row r="13" customFormat="false" ht="15" hidden="false" customHeight="false" outlineLevel="0" collapsed="false">
      <c r="B13" s="4" t="s">
        <v>17</v>
      </c>
      <c r="C13" s="5" t="s">
        <v>18</v>
      </c>
      <c r="D13" s="5"/>
      <c r="E13" s="5"/>
    </row>
    <row r="14" customFormat="false" ht="15" hidden="false" customHeight="false" outlineLevel="0" collapsed="false">
      <c r="B14" s="4" t="s">
        <v>19</v>
      </c>
      <c r="C14" s="5" t="s">
        <v>20</v>
      </c>
      <c r="D14" s="5"/>
      <c r="E14" s="5"/>
    </row>
    <row r="15" customFormat="false" ht="15" hidden="false" customHeight="false" outlineLevel="0" collapsed="false">
      <c r="B15" s="4" t="s">
        <v>21</v>
      </c>
      <c r="C15" s="5" t="s">
        <v>22</v>
      </c>
      <c r="D15" s="5"/>
      <c r="E15" s="5"/>
    </row>
    <row r="16" customFormat="false" ht="15" hidden="false" customHeight="false" outlineLevel="0" collapsed="false">
      <c r="B16" s="4" t="s">
        <v>23</v>
      </c>
      <c r="C16" s="5" t="s">
        <v>24</v>
      </c>
      <c r="D16" s="5"/>
      <c r="E16" s="5"/>
    </row>
    <row r="17" customFormat="false" ht="15" hidden="false" customHeight="false" outlineLevel="0" collapsed="false">
      <c r="B17" s="4" t="s">
        <v>25</v>
      </c>
      <c r="C17" s="5" t="s">
        <v>26</v>
      </c>
      <c r="D17" s="5"/>
      <c r="E17" s="5"/>
    </row>
    <row r="19" customFormat="false" ht="19.5" hidden="false" customHeight="true" outlineLevel="0" collapsed="false">
      <c r="B19" s="3" t="s">
        <v>27</v>
      </c>
      <c r="C19" s="3"/>
      <c r="D19" s="3"/>
      <c r="E19" s="3"/>
    </row>
    <row r="20" customFormat="false" ht="19.5" hidden="false" customHeight="true" outlineLevel="0" collapsed="false">
      <c r="B20" s="6" t="s">
        <v>28</v>
      </c>
      <c r="C20" s="7" t="s">
        <v>29</v>
      </c>
      <c r="D20" s="7"/>
      <c r="E20" s="7"/>
    </row>
    <row r="21" customFormat="false" ht="19.5" hidden="false" customHeight="true" outlineLevel="0" collapsed="false">
      <c r="B21" s="6" t="s">
        <v>30</v>
      </c>
      <c r="C21" s="8" t="n">
        <f aca="false">Scope!$D$6</f>
        <v>152</v>
      </c>
      <c r="D21" s="9" t="s">
        <v>31</v>
      </c>
    </row>
    <row r="22" customFormat="false" ht="19.5" hidden="false" customHeight="true" outlineLevel="0" collapsed="false">
      <c r="B22" s="6" t="s">
        <v>32</v>
      </c>
      <c r="C22" s="8" t="n">
        <f aca="false">Scope!$D$7</f>
        <v>144</v>
      </c>
      <c r="D22" s="9" t="s">
        <v>31</v>
      </c>
    </row>
    <row r="23" customFormat="false" ht="19.5" hidden="false" customHeight="true" outlineLevel="0" collapsed="false">
      <c r="B23" s="6" t="s">
        <v>33</v>
      </c>
      <c r="C23" s="8" t="n">
        <f aca="false">Scope!$D$8</f>
        <v>8</v>
      </c>
      <c r="D23" s="9" t="s">
        <v>31</v>
      </c>
    </row>
    <row r="24" customFormat="false" ht="19.5" hidden="false" customHeight="true" outlineLevel="0" collapsed="false">
      <c r="B24" s="6" t="s">
        <v>34</v>
      </c>
      <c r="C24" s="10" t="str">
        <f aca="false">Scope!$D$12&amp;"  /  "&amp;Scope!$E$12&amp;"  /  "&amp;Scope!$F$12</f>
        <v>34  /  89  /  21</v>
      </c>
      <c r="D24" s="9" t="s">
        <v>31</v>
      </c>
    </row>
    <row r="25" customFormat="false" ht="19.5" hidden="false" customHeight="true" outlineLevel="0" collapsed="false">
      <c r="B25" s="6" t="s">
        <v>35</v>
      </c>
      <c r="C25" s="11" t="n">
        <f aca="false">'Overall Estimation'!$D$25</f>
        <v>1105.468</v>
      </c>
      <c r="D25" s="9" t="s">
        <v>36</v>
      </c>
    </row>
    <row r="26" customFormat="false" ht="19.5" hidden="false" customHeight="true" outlineLevel="0" collapsed="false">
      <c r="B26" s="6" t="s">
        <v>37</v>
      </c>
      <c r="C26" s="12" t="n">
        <f aca="false">'Overall Estimation'!$D$27</f>
        <v>138.1835</v>
      </c>
      <c r="D26" s="9" t="s">
        <v>38</v>
      </c>
    </row>
    <row r="27" customFormat="false" ht="19.5" hidden="false" customHeight="true" outlineLevel="0" collapsed="false">
      <c r="B27" s="6" t="s">
        <v>39</v>
      </c>
      <c r="C27" s="7" t="s">
        <v>40</v>
      </c>
      <c r="D27" s="7"/>
      <c r="E27" s="7"/>
    </row>
    <row r="28" customFormat="false" ht="19.5" hidden="false" customHeight="true" outlineLevel="0" collapsed="false">
      <c r="B28" s="6" t="s">
        <v>41</v>
      </c>
      <c r="C28" s="13" t="n">
        <f aca="false">'Resourcing Scenarios'!$G$16</f>
        <v>9.21223333333333</v>
      </c>
      <c r="D28" s="9" t="s">
        <v>42</v>
      </c>
    </row>
    <row r="29" customFormat="false" ht="19.5" hidden="false" customHeight="true" outlineLevel="0" collapsed="false">
      <c r="B29" s="6" t="s">
        <v>43</v>
      </c>
      <c r="C29" s="12" t="n">
        <f aca="false">'Resourcing Scenarios'!$H$16</f>
        <v>2.30305833333333</v>
      </c>
      <c r="D29" s="9" t="s">
        <v>44</v>
      </c>
    </row>
    <row r="30" customFormat="false" ht="19.5" hidden="false" customHeight="true" outlineLevel="0" collapsed="false">
      <c r="B30" s="6" t="s">
        <v>45</v>
      </c>
      <c r="C30" s="12" t="n">
        <f aca="false">'Resourcing Scenarios'!$G$18</f>
        <v>4.38677777777778</v>
      </c>
      <c r="D30" s="9" t="s">
        <v>46</v>
      </c>
    </row>
    <row r="31" customFormat="false" ht="19.5" hidden="false" customHeight="true" outlineLevel="0" collapsed="false">
      <c r="B31" s="6" t="s">
        <v>47</v>
      </c>
      <c r="C31" s="14" t="n">
        <f aca="false">'Tool Comparison'!$D$14</f>
        <v>0.275074429157869</v>
      </c>
      <c r="D31" s="9" t="s">
        <v>48</v>
      </c>
    </row>
    <row r="33" customFormat="false" ht="19.5" hidden="false" customHeight="true" outlineLevel="0" collapsed="false">
      <c r="B33" s="3" t="s">
        <v>49</v>
      </c>
      <c r="C33" s="3"/>
      <c r="D33" s="3"/>
      <c r="E33" s="3"/>
    </row>
    <row r="34" customFormat="false" ht="25.5" hidden="false" customHeight="true" outlineLevel="0" collapsed="false">
      <c r="B34" s="4" t="s">
        <v>50</v>
      </c>
      <c r="C34" s="15" t="s">
        <v>51</v>
      </c>
      <c r="D34" s="15"/>
      <c r="E34" s="15"/>
    </row>
    <row r="35" customFormat="false" ht="25.5" hidden="false" customHeight="true" outlineLevel="0" collapsed="false">
      <c r="B35" s="4" t="s">
        <v>52</v>
      </c>
      <c r="C35" s="15" t="s">
        <v>53</v>
      </c>
      <c r="D35" s="15"/>
      <c r="E35" s="15"/>
    </row>
    <row r="36" customFormat="false" ht="25.5" hidden="false" customHeight="true" outlineLevel="0" collapsed="false">
      <c r="B36" s="4" t="s">
        <v>54</v>
      </c>
      <c r="C36" s="15" t="s">
        <v>55</v>
      </c>
      <c r="D36" s="15"/>
      <c r="E36" s="15"/>
    </row>
    <row r="37" customFormat="false" ht="25.5" hidden="false" customHeight="true" outlineLevel="0" collapsed="false">
      <c r="B37" s="4" t="s">
        <v>56</v>
      </c>
      <c r="C37" s="15" t="s">
        <v>57</v>
      </c>
      <c r="D37" s="15"/>
      <c r="E37" s="15"/>
    </row>
    <row r="38" customFormat="false" ht="25.5" hidden="false" customHeight="true" outlineLevel="0" collapsed="false">
      <c r="B38" s="4" t="s">
        <v>58</v>
      </c>
      <c r="C38" s="15" t="s">
        <v>59</v>
      </c>
      <c r="D38" s="15"/>
      <c r="E38" s="15"/>
    </row>
    <row r="39" customFormat="false" ht="25.5" hidden="false" customHeight="true" outlineLevel="0" collapsed="false">
      <c r="B39" s="4" t="s">
        <v>60</v>
      </c>
      <c r="C39" s="15" t="s">
        <v>61</v>
      </c>
      <c r="D39" s="15"/>
      <c r="E39" s="15"/>
    </row>
    <row r="40" customFormat="false" ht="25.5" hidden="false" customHeight="true" outlineLevel="0" collapsed="false">
      <c r="B40" s="4" t="s">
        <v>62</v>
      </c>
      <c r="C40" s="15" t="s">
        <v>63</v>
      </c>
      <c r="D40" s="15"/>
      <c r="E40" s="15"/>
    </row>
    <row r="41" customFormat="false" ht="25.5" hidden="false" customHeight="true" outlineLevel="0" collapsed="false">
      <c r="B41" s="4" t="s">
        <v>64</v>
      </c>
      <c r="C41" s="15" t="s">
        <v>65</v>
      </c>
      <c r="D41" s="15"/>
      <c r="E41" s="15"/>
    </row>
    <row r="43" customFormat="false" ht="19.5" hidden="false" customHeight="true" outlineLevel="0" collapsed="false">
      <c r="B43" s="3" t="s">
        <v>66</v>
      </c>
      <c r="C43" s="3"/>
      <c r="D43" s="3"/>
      <c r="E43" s="3"/>
    </row>
    <row r="44" customFormat="false" ht="15" hidden="false" customHeight="false" outlineLevel="0" collapsed="false">
      <c r="B44" s="16" t="s">
        <v>67</v>
      </c>
      <c r="C44" s="17" t="s">
        <v>68</v>
      </c>
      <c r="D44" s="17"/>
      <c r="E44" s="17"/>
    </row>
    <row r="45" customFormat="false" ht="15" hidden="false" customHeight="false" outlineLevel="0" collapsed="false">
      <c r="B45" s="6" t="s">
        <v>69</v>
      </c>
      <c r="C45" s="17" t="s">
        <v>70</v>
      </c>
      <c r="D45" s="17"/>
      <c r="E45" s="17"/>
    </row>
  </sheetData>
  <mergeCells count="30">
    <mergeCell ref="B2:E2"/>
    <mergeCell ref="B3:E3"/>
    <mergeCell ref="B5:E5"/>
    <mergeCell ref="C6:E6"/>
    <mergeCell ref="C7:E7"/>
    <mergeCell ref="C8:E8"/>
    <mergeCell ref="C9:E9"/>
    <mergeCell ref="C10:E10"/>
    <mergeCell ref="C11:E11"/>
    <mergeCell ref="C12:E12"/>
    <mergeCell ref="C13:E13"/>
    <mergeCell ref="C14:E14"/>
    <mergeCell ref="C15:E15"/>
    <mergeCell ref="C16:E16"/>
    <mergeCell ref="C17:E17"/>
    <mergeCell ref="B19:E19"/>
    <mergeCell ref="C20:E20"/>
    <mergeCell ref="C27:E27"/>
    <mergeCell ref="B33:E33"/>
    <mergeCell ref="C34:E34"/>
    <mergeCell ref="C35:E35"/>
    <mergeCell ref="C36:E36"/>
    <mergeCell ref="C37:E37"/>
    <mergeCell ref="C38:E38"/>
    <mergeCell ref="C39:E39"/>
    <mergeCell ref="C40:E40"/>
    <mergeCell ref="C41:E41"/>
    <mergeCell ref="B43:E43"/>
    <mergeCell ref="C44:E44"/>
    <mergeCell ref="C45:E45"/>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
    <col collapsed="false" customWidth="true" hidden="false" outlineLevel="0" max="3" min="3" style="0" width="40"/>
    <col collapsed="false" customWidth="true" hidden="false" outlineLevel="0" max="4" min="4" style="0" width="16"/>
    <col collapsed="false" customWidth="true" hidden="false" outlineLevel="0" max="7" min="5" style="0" width="14"/>
    <col collapsed="false" customWidth="true" hidden="false" outlineLevel="0" max="8" min="8" style="0" width="18"/>
    <col collapsed="false" customWidth="true" hidden="false" outlineLevel="0" max="9" min="9" style="0" width="14"/>
  </cols>
  <sheetData>
    <row r="2" customFormat="false" ht="27.75" hidden="false" customHeight="true" outlineLevel="0" collapsed="false">
      <c r="B2" s="18" t="s">
        <v>71</v>
      </c>
      <c r="C2" s="18"/>
      <c r="D2" s="18"/>
      <c r="E2" s="18"/>
      <c r="F2" s="18"/>
      <c r="G2" s="18"/>
      <c r="H2" s="18"/>
    </row>
    <row r="3" customFormat="false" ht="27.75" hidden="false" customHeight="true" outlineLevel="0" collapsed="false">
      <c r="B3" s="19" t="s">
        <v>72</v>
      </c>
      <c r="C3" s="19"/>
      <c r="D3" s="19"/>
      <c r="E3" s="19"/>
      <c r="F3" s="19"/>
      <c r="G3" s="19"/>
      <c r="H3" s="19"/>
    </row>
    <row r="5" customFormat="false" ht="19.5" hidden="false" customHeight="true" outlineLevel="0" collapsed="false">
      <c r="B5" s="3" t="s">
        <v>73</v>
      </c>
      <c r="C5" s="3"/>
      <c r="D5" s="3"/>
      <c r="E5" s="3"/>
      <c r="F5" s="3"/>
      <c r="G5" s="3"/>
      <c r="H5" s="3"/>
    </row>
    <row r="6" customFormat="false" ht="15" hidden="false" customHeight="false" outlineLevel="0" collapsed="false">
      <c r="C6" s="20" t="s">
        <v>74</v>
      </c>
      <c r="D6" s="21" t="n">
        <f aca="false">COUNTA('Complexity Basis'!$B$2:$B$153)</f>
        <v>152</v>
      </c>
      <c r="E6" s="22" t="s">
        <v>75</v>
      </c>
    </row>
    <row r="7" customFormat="false" ht="15" hidden="false" customHeight="false" outlineLevel="0" collapsed="false">
      <c r="C7" s="5" t="s">
        <v>76</v>
      </c>
      <c r="D7" s="23" t="n">
        <f aca="false">COUNTIF('Complexity Basis'!$M$2:$M$153,"Yes")</f>
        <v>144</v>
      </c>
      <c r="E7" s="24" t="n">
        <f aca="false">D7/$D$6</f>
        <v>0.947368421052632</v>
      </c>
    </row>
    <row r="8" customFormat="false" ht="15" hidden="false" customHeight="false" outlineLevel="0" collapsed="false">
      <c r="C8" s="5" t="s">
        <v>77</v>
      </c>
      <c r="D8" s="23" t="n">
        <f aca="false">COUNTIF('Complexity Basis'!$M$2:$M$153,"No")</f>
        <v>8</v>
      </c>
      <c r="E8" s="24" t="n">
        <f aca="false">D8/$D$6</f>
        <v>0.0526315789473684</v>
      </c>
    </row>
    <row r="10" customFormat="false" ht="19.5" hidden="false" customHeight="true" outlineLevel="0" collapsed="false">
      <c r="B10" s="3" t="s">
        <v>78</v>
      </c>
      <c r="C10" s="3"/>
      <c r="D10" s="3"/>
      <c r="E10" s="3"/>
      <c r="F10" s="3"/>
      <c r="G10" s="3"/>
      <c r="H10" s="3"/>
    </row>
    <row r="11" customFormat="false" ht="30" hidden="false" customHeight="true" outlineLevel="0" collapsed="false">
      <c r="C11" s="25" t="s">
        <v>79</v>
      </c>
      <c r="D11" s="25" t="s">
        <v>80</v>
      </c>
      <c r="E11" s="25" t="s">
        <v>81</v>
      </c>
      <c r="F11" s="25" t="s">
        <v>82</v>
      </c>
      <c r="G11" s="25" t="s">
        <v>83</v>
      </c>
      <c r="H11" s="26" t="s">
        <v>84</v>
      </c>
    </row>
    <row r="12" customFormat="false" ht="15" hidden="false" customHeight="false" outlineLevel="0" collapsed="false">
      <c r="C12" s="20" t="s">
        <v>85</v>
      </c>
      <c r="D12" s="23" t="n">
        <f aca="false">COUNTIFS('Complexity Basis'!$L$2:$L$153,"Simple",'Complexity Basis'!$M$2:$M$153,"Yes")</f>
        <v>34</v>
      </c>
      <c r="E12" s="23" t="n">
        <f aca="false">COUNTIFS('Complexity Basis'!$L$2:$L$153,"Medium",'Complexity Basis'!$M$2:$M$153,"Yes")</f>
        <v>89</v>
      </c>
      <c r="F12" s="23" t="n">
        <f aca="false">COUNTIFS('Complexity Basis'!$L$2:$L$153,"Complex",'Complexity Basis'!$M$2:$M$153,"Yes")</f>
        <v>21</v>
      </c>
      <c r="G12" s="21" t="n">
        <f aca="false">SUM(D12:F12)</f>
        <v>144</v>
      </c>
    </row>
    <row r="13" customFormat="false" ht="15" hidden="false" customHeight="false" outlineLevel="0" collapsed="false">
      <c r="C13" s="5" t="s">
        <v>86</v>
      </c>
      <c r="D13" s="24" t="n">
        <f aca="false">D12/$G$12</f>
        <v>0.236111111111111</v>
      </c>
      <c r="E13" s="24" t="n">
        <f aca="false">E12/$G$12</f>
        <v>0.618055555555556</v>
      </c>
      <c r="F13" s="24" t="n">
        <f aca="false">F12/$G$12</f>
        <v>0.145833333333333</v>
      </c>
      <c r="G13" s="27" t="n">
        <f aca="false">SUM(D13:F13)</f>
        <v>1</v>
      </c>
    </row>
    <row r="15" customFormat="false" ht="19.5" hidden="false" customHeight="true" outlineLevel="0" collapsed="false">
      <c r="B15" s="3" t="s">
        <v>87</v>
      </c>
      <c r="C15" s="3"/>
      <c r="D15" s="3"/>
      <c r="E15" s="3"/>
      <c r="F15" s="3"/>
      <c r="G15" s="3"/>
      <c r="H15" s="3"/>
    </row>
    <row r="16" customFormat="false" ht="30" hidden="false" customHeight="true" outlineLevel="0" collapsed="false">
      <c r="C16" s="25" t="s">
        <v>88</v>
      </c>
      <c r="D16" s="25" t="s">
        <v>89</v>
      </c>
      <c r="E16" s="25" t="s">
        <v>90</v>
      </c>
      <c r="F16" s="25" t="s">
        <v>80</v>
      </c>
      <c r="G16" s="25" t="s">
        <v>81</v>
      </c>
      <c r="H16" s="25" t="s">
        <v>82</v>
      </c>
      <c r="I16" s="25" t="s">
        <v>91</v>
      </c>
    </row>
    <row r="17" customFormat="false" ht="15" hidden="false" customHeight="false" outlineLevel="0" collapsed="false">
      <c r="C17" s="5" t="s">
        <v>92</v>
      </c>
      <c r="D17" s="28" t="n">
        <f aca="false">COUNTIF('Complexity Basis'!$D$2:$D$153,"Job Requisition")</f>
        <v>32</v>
      </c>
      <c r="E17" s="28" t="n">
        <f aca="false">COUNTIFS('Complexity Basis'!$D$2:$D$153,"Job Requisition",'Complexity Basis'!$M$2:$M$153,"Yes")</f>
        <v>30</v>
      </c>
      <c r="F17" s="28" t="n">
        <f aca="false">COUNTIFS('Complexity Basis'!$D$2:$D$153,"Job Requisition",'Complexity Basis'!$L$2:$L$153,"Simple",'Complexity Basis'!$M$2:$M$153,"Yes")</f>
        <v>10</v>
      </c>
      <c r="G17" s="28" t="n">
        <f aca="false">COUNTIFS('Complexity Basis'!$D$2:$D$153,"Job Requisition",'Complexity Basis'!$L$2:$L$153,"Medium",'Complexity Basis'!$M$2:$M$153,"Yes")</f>
        <v>18</v>
      </c>
      <c r="H17" s="28" t="n">
        <f aca="false">COUNTIFS('Complexity Basis'!$D$2:$D$153,"Job Requisition",'Complexity Basis'!$L$2:$L$153,"Complex",'Complexity Basis'!$M$2:$M$153,"Yes")</f>
        <v>2</v>
      </c>
      <c r="I17" s="28" t="n">
        <f aca="false">COUNTIFS('Complexity Basis'!$D$2:$D$153,"Job Requisition",'Complexity Basis'!$M$2:$M$153,"No")</f>
        <v>2</v>
      </c>
    </row>
    <row r="18" customFormat="false" ht="15" hidden="false" customHeight="false" outlineLevel="0" collapsed="false">
      <c r="C18" s="5" t="s">
        <v>93</v>
      </c>
      <c r="D18" s="28" t="n">
        <f aca="false">COUNTIF('Complexity Basis'!$D$2:$D$153,"Job Offer")</f>
        <v>26</v>
      </c>
      <c r="E18" s="28" t="n">
        <f aca="false">COUNTIFS('Complexity Basis'!$D$2:$D$153,"Job Offer",'Complexity Basis'!$M$2:$M$153,"Yes")</f>
        <v>26</v>
      </c>
      <c r="F18" s="28" t="n">
        <f aca="false">COUNTIFS('Complexity Basis'!$D$2:$D$153,"Job Offer",'Complexity Basis'!$L$2:$L$153,"Simple",'Complexity Basis'!$M$2:$M$153,"Yes")</f>
        <v>3</v>
      </c>
      <c r="G18" s="28" t="n">
        <f aca="false">COUNTIFS('Complexity Basis'!$D$2:$D$153,"Job Offer",'Complexity Basis'!$L$2:$L$153,"Medium",'Complexity Basis'!$M$2:$M$153,"Yes")</f>
        <v>18</v>
      </c>
      <c r="H18" s="28" t="n">
        <f aca="false">COUNTIFS('Complexity Basis'!$D$2:$D$153,"Job Offer",'Complexity Basis'!$L$2:$L$153,"Complex",'Complexity Basis'!$M$2:$M$153,"Yes")</f>
        <v>5</v>
      </c>
      <c r="I18" s="28" t="n">
        <f aca="false">COUNTIFS('Complexity Basis'!$D$2:$D$153,"Job Offer",'Complexity Basis'!$M$2:$M$153,"No")</f>
        <v>0</v>
      </c>
    </row>
    <row r="19" customFormat="false" ht="15" hidden="false" customHeight="false" outlineLevel="0" collapsed="false">
      <c r="C19" s="5" t="s">
        <v>94</v>
      </c>
      <c r="D19" s="28" t="n">
        <f aca="false">COUNTIF('Complexity Basis'!$D$2:$D$153,"Candidate Selection Process")</f>
        <v>25</v>
      </c>
      <c r="E19" s="28" t="n">
        <f aca="false">COUNTIFS('Complexity Basis'!$D$2:$D$153,"Candidate Selection Process",'Complexity Basis'!$M$2:$M$153,"Yes")</f>
        <v>25</v>
      </c>
      <c r="F19" s="28" t="n">
        <f aca="false">COUNTIFS('Complexity Basis'!$D$2:$D$153,"Candidate Selection Process",'Complexity Basis'!$L$2:$L$153,"Simple",'Complexity Basis'!$M$2:$M$153,"Yes")</f>
        <v>3</v>
      </c>
      <c r="G19" s="28" t="n">
        <f aca="false">COUNTIFS('Complexity Basis'!$D$2:$D$153,"Candidate Selection Process",'Complexity Basis'!$L$2:$L$153,"Medium",'Complexity Basis'!$M$2:$M$153,"Yes")</f>
        <v>18</v>
      </c>
      <c r="H19" s="28" t="n">
        <f aca="false">COUNTIFS('Complexity Basis'!$D$2:$D$153,"Candidate Selection Process",'Complexity Basis'!$L$2:$L$153,"Complex",'Complexity Basis'!$M$2:$M$153,"Yes")</f>
        <v>4</v>
      </c>
      <c r="I19" s="28" t="n">
        <f aca="false">COUNTIFS('Complexity Basis'!$D$2:$D$153,"Candidate Selection Process",'Complexity Basis'!$M$2:$M$153,"No")</f>
        <v>0</v>
      </c>
    </row>
    <row r="20" customFormat="false" ht="15" hidden="false" customHeight="false" outlineLevel="0" collapsed="false">
      <c r="C20" s="5" t="s">
        <v>95</v>
      </c>
      <c r="D20" s="28" t="n">
        <f aca="false">COUNTIF('Complexity Basis'!$D$2:$D$153,"Employee Referral")</f>
        <v>21</v>
      </c>
      <c r="E20" s="28" t="n">
        <f aca="false">COUNTIFS('Complexity Basis'!$D$2:$D$153,"Employee Referral",'Complexity Basis'!$M$2:$M$153,"Yes")</f>
        <v>21</v>
      </c>
      <c r="F20" s="28" t="n">
        <f aca="false">COUNTIFS('Complexity Basis'!$D$2:$D$153,"Employee Referral",'Complexity Basis'!$L$2:$L$153,"Simple",'Complexity Basis'!$M$2:$M$153,"Yes")</f>
        <v>8</v>
      </c>
      <c r="G20" s="28" t="n">
        <f aca="false">COUNTIFS('Complexity Basis'!$D$2:$D$153,"Employee Referral",'Complexity Basis'!$L$2:$L$153,"Medium",'Complexity Basis'!$M$2:$M$153,"Yes")</f>
        <v>13</v>
      </c>
      <c r="H20" s="28" t="n">
        <f aca="false">COUNTIFS('Complexity Basis'!$D$2:$D$153,"Employee Referral",'Complexity Basis'!$L$2:$L$153,"Complex",'Complexity Basis'!$M$2:$M$153,"Yes")</f>
        <v>0</v>
      </c>
      <c r="I20" s="28" t="n">
        <f aca="false">COUNTIFS('Complexity Basis'!$D$2:$D$153,"Employee Referral",'Complexity Basis'!$M$2:$M$153,"No")</f>
        <v>0</v>
      </c>
    </row>
    <row r="21" customFormat="false" ht="15" hidden="false" customHeight="false" outlineLevel="0" collapsed="false">
      <c r="C21" s="5" t="s">
        <v>96</v>
      </c>
      <c r="D21" s="28" t="n">
        <f aca="false">COUNTIF('Complexity Basis'!$D$2:$D$153,"Candidate Experience")</f>
        <v>13</v>
      </c>
      <c r="E21" s="28" t="n">
        <f aca="false">COUNTIFS('Complexity Basis'!$D$2:$D$153,"Candidate Experience",'Complexity Basis'!$M$2:$M$153,"Yes")</f>
        <v>12</v>
      </c>
      <c r="F21" s="28" t="n">
        <f aca="false">COUNTIFS('Complexity Basis'!$D$2:$D$153,"Candidate Experience",'Complexity Basis'!$L$2:$L$153,"Simple",'Complexity Basis'!$M$2:$M$153,"Yes")</f>
        <v>1</v>
      </c>
      <c r="G21" s="28" t="n">
        <f aca="false">COUNTIFS('Complexity Basis'!$D$2:$D$153,"Candidate Experience",'Complexity Basis'!$L$2:$L$153,"Medium",'Complexity Basis'!$M$2:$M$153,"Yes")</f>
        <v>10</v>
      </c>
      <c r="H21" s="28" t="n">
        <f aca="false">COUNTIFS('Complexity Basis'!$D$2:$D$153,"Candidate Experience",'Complexity Basis'!$L$2:$L$153,"Complex",'Complexity Basis'!$M$2:$M$153,"Yes")</f>
        <v>1</v>
      </c>
      <c r="I21" s="28" t="n">
        <f aca="false">COUNTIFS('Complexity Basis'!$D$2:$D$153,"Candidate Experience",'Complexity Basis'!$M$2:$M$153,"No")</f>
        <v>1</v>
      </c>
    </row>
    <row r="22" customFormat="false" ht="15" hidden="false" customHeight="false" outlineLevel="0" collapsed="false">
      <c r="C22" s="5" t="s">
        <v>97</v>
      </c>
      <c r="D22" s="28" t="n">
        <f aca="false">COUNTIF('Complexity Basis'!$D$2:$D$153,"Security")</f>
        <v>9</v>
      </c>
      <c r="E22" s="28" t="n">
        <f aca="false">COUNTIFS('Complexity Basis'!$D$2:$D$153,"Security",'Complexity Basis'!$M$2:$M$153,"Yes")</f>
        <v>9</v>
      </c>
      <c r="F22" s="28" t="n">
        <f aca="false">COUNTIFS('Complexity Basis'!$D$2:$D$153,"Security",'Complexity Basis'!$L$2:$L$153,"Simple",'Complexity Basis'!$M$2:$M$153,"Yes")</f>
        <v>6</v>
      </c>
      <c r="G22" s="28" t="n">
        <f aca="false">COUNTIFS('Complexity Basis'!$D$2:$D$153,"Security",'Complexity Basis'!$L$2:$L$153,"Medium",'Complexity Basis'!$M$2:$M$153,"Yes")</f>
        <v>3</v>
      </c>
      <c r="H22" s="28" t="n">
        <f aca="false">COUNTIFS('Complexity Basis'!$D$2:$D$153,"Security",'Complexity Basis'!$L$2:$L$153,"Complex",'Complexity Basis'!$M$2:$M$153,"Yes")</f>
        <v>0</v>
      </c>
      <c r="I22" s="28" t="n">
        <f aca="false">COUNTIFS('Complexity Basis'!$D$2:$D$153,"Security",'Complexity Basis'!$M$2:$M$153,"No")</f>
        <v>0</v>
      </c>
    </row>
    <row r="23" customFormat="false" ht="15" hidden="false" customHeight="false" outlineLevel="0" collapsed="false">
      <c r="C23" s="5" t="s">
        <v>98</v>
      </c>
      <c r="D23" s="28" t="n">
        <f aca="false">COUNTIF('Complexity Basis'!$D$2:$D$153,"Integration")</f>
        <v>9</v>
      </c>
      <c r="E23" s="28" t="n">
        <f aca="false">COUNTIFS('Complexity Basis'!$D$2:$D$153,"Integration",'Complexity Basis'!$M$2:$M$153,"Yes")</f>
        <v>9</v>
      </c>
      <c r="F23" s="28" t="n">
        <f aca="false">COUNTIFS('Complexity Basis'!$D$2:$D$153,"Integration",'Complexity Basis'!$L$2:$L$153,"Simple",'Complexity Basis'!$M$2:$M$153,"Yes")</f>
        <v>2</v>
      </c>
      <c r="G23" s="28" t="n">
        <f aca="false">COUNTIFS('Complexity Basis'!$D$2:$D$153,"Integration",'Complexity Basis'!$L$2:$L$153,"Medium",'Complexity Basis'!$M$2:$M$153,"Yes")</f>
        <v>1</v>
      </c>
      <c r="H23" s="28" t="n">
        <f aca="false">COUNTIFS('Complexity Basis'!$D$2:$D$153,"Integration",'Complexity Basis'!$L$2:$L$153,"Complex",'Complexity Basis'!$M$2:$M$153,"Yes")</f>
        <v>6</v>
      </c>
      <c r="I23" s="28" t="n">
        <f aca="false">COUNTIFS('Complexity Basis'!$D$2:$D$153,"Integration",'Complexity Basis'!$M$2:$M$153,"No")</f>
        <v>0</v>
      </c>
    </row>
    <row r="24" customFormat="false" ht="15" hidden="false" customHeight="false" outlineLevel="0" collapsed="false">
      <c r="C24" s="5" t="s">
        <v>99</v>
      </c>
      <c r="D24" s="28" t="n">
        <f aca="false">COUNTIF('Complexity Basis'!$D$2:$D$153,"Interview Management")</f>
        <v>9</v>
      </c>
      <c r="E24" s="28" t="n">
        <f aca="false">COUNTIFS('Complexity Basis'!$D$2:$D$153,"Interview Management",'Complexity Basis'!$M$2:$M$153,"Yes")</f>
        <v>9</v>
      </c>
      <c r="F24" s="28" t="n">
        <f aca="false">COUNTIFS('Complexity Basis'!$D$2:$D$153,"Interview Management",'Complexity Basis'!$L$2:$L$153,"Simple",'Complexity Basis'!$M$2:$M$153,"Yes")</f>
        <v>0</v>
      </c>
      <c r="G24" s="28" t="n">
        <f aca="false">COUNTIFS('Complexity Basis'!$D$2:$D$153,"Interview Management",'Complexity Basis'!$L$2:$L$153,"Medium",'Complexity Basis'!$M$2:$M$153,"Yes")</f>
        <v>6</v>
      </c>
      <c r="H24" s="28" t="n">
        <f aca="false">COUNTIFS('Complexity Basis'!$D$2:$D$153,"Interview Management",'Complexity Basis'!$L$2:$L$153,"Complex",'Complexity Basis'!$M$2:$M$153,"Yes")</f>
        <v>3</v>
      </c>
      <c r="I24" s="28" t="n">
        <f aca="false">COUNTIFS('Complexity Basis'!$D$2:$D$153,"Interview Management",'Complexity Basis'!$M$2:$M$153,"No")</f>
        <v>0</v>
      </c>
    </row>
    <row r="25" customFormat="false" ht="15" hidden="false" customHeight="false" outlineLevel="0" collapsed="false">
      <c r="C25" s="5" t="s">
        <v>100</v>
      </c>
      <c r="D25" s="28" t="n">
        <f aca="false">COUNTIF('Complexity Basis'!$D$2:$D$153,"AI Agents")</f>
        <v>3</v>
      </c>
      <c r="E25" s="28" t="n">
        <f aca="false">COUNTIFS('Complexity Basis'!$D$2:$D$153,"AI Agents",'Complexity Basis'!$M$2:$M$153,"Yes")</f>
        <v>0</v>
      </c>
      <c r="F25" s="28" t="n">
        <f aca="false">COUNTIFS('Complexity Basis'!$D$2:$D$153,"AI Agents",'Complexity Basis'!$L$2:$L$153,"Simple",'Complexity Basis'!$M$2:$M$153,"Yes")</f>
        <v>0</v>
      </c>
      <c r="G25" s="28" t="n">
        <f aca="false">COUNTIFS('Complexity Basis'!$D$2:$D$153,"AI Agents",'Complexity Basis'!$L$2:$L$153,"Medium",'Complexity Basis'!$M$2:$M$153,"Yes")</f>
        <v>0</v>
      </c>
      <c r="H25" s="28" t="n">
        <f aca="false">COUNTIFS('Complexity Basis'!$D$2:$D$153,"AI Agents",'Complexity Basis'!$L$2:$L$153,"Complex",'Complexity Basis'!$M$2:$M$153,"Yes")</f>
        <v>0</v>
      </c>
      <c r="I25" s="28" t="n">
        <f aca="false">COUNTIFS('Complexity Basis'!$D$2:$D$153,"AI Agents",'Complexity Basis'!$M$2:$M$153,"No")</f>
        <v>3</v>
      </c>
    </row>
    <row r="26" customFormat="false" ht="15" hidden="false" customHeight="false" outlineLevel="0" collapsed="false">
      <c r="C26" s="5" t="s">
        <v>101</v>
      </c>
      <c r="D26" s="28" t="n">
        <f aca="false">COUNTIF('Complexity Basis'!$D$2:$D$153,"Reporting &amp; Analytics")</f>
        <v>3</v>
      </c>
      <c r="E26" s="28" t="n">
        <f aca="false">COUNTIFS('Complexity Basis'!$D$2:$D$153,"Reporting &amp; Analytics",'Complexity Basis'!$M$2:$M$153,"Yes")</f>
        <v>3</v>
      </c>
      <c r="F26" s="28" t="n">
        <f aca="false">COUNTIFS('Complexity Basis'!$D$2:$D$153,"Reporting &amp; Analytics",'Complexity Basis'!$L$2:$L$153,"Simple",'Complexity Basis'!$M$2:$M$153,"Yes")</f>
        <v>1</v>
      </c>
      <c r="G26" s="28" t="n">
        <f aca="false">COUNTIFS('Complexity Basis'!$D$2:$D$153,"Reporting &amp; Analytics",'Complexity Basis'!$L$2:$L$153,"Medium",'Complexity Basis'!$M$2:$M$153,"Yes")</f>
        <v>2</v>
      </c>
      <c r="H26" s="28" t="n">
        <f aca="false">COUNTIFS('Complexity Basis'!$D$2:$D$153,"Reporting &amp; Analytics",'Complexity Basis'!$L$2:$L$153,"Complex",'Complexity Basis'!$M$2:$M$153,"Yes")</f>
        <v>0</v>
      </c>
      <c r="I26" s="28" t="n">
        <f aca="false">COUNTIFS('Complexity Basis'!$D$2:$D$153,"Reporting &amp; Analytics",'Complexity Basis'!$M$2:$M$153,"No")</f>
        <v>0</v>
      </c>
    </row>
    <row r="27" customFormat="false" ht="15" hidden="false" customHeight="false" outlineLevel="0" collapsed="false">
      <c r="C27" s="5" t="s">
        <v>102</v>
      </c>
      <c r="D27" s="28" t="n">
        <f aca="false">COUNTIF('Complexity Basis'!$D$2:$D$153,"Recruiting Booster")</f>
        <v>2</v>
      </c>
      <c r="E27" s="28" t="n">
        <f aca="false">COUNTIFS('Complexity Basis'!$D$2:$D$153,"Recruiting Booster",'Complexity Basis'!$M$2:$M$153,"Yes")</f>
        <v>0</v>
      </c>
      <c r="F27" s="28" t="n">
        <f aca="false">COUNTIFS('Complexity Basis'!$D$2:$D$153,"Recruiting Booster",'Complexity Basis'!$L$2:$L$153,"Simple",'Complexity Basis'!$M$2:$M$153,"Yes")</f>
        <v>0</v>
      </c>
      <c r="G27" s="28" t="n">
        <f aca="false">COUNTIFS('Complexity Basis'!$D$2:$D$153,"Recruiting Booster",'Complexity Basis'!$L$2:$L$153,"Medium",'Complexity Basis'!$M$2:$M$153,"Yes")</f>
        <v>0</v>
      </c>
      <c r="H27" s="28" t="n">
        <f aca="false">COUNTIFS('Complexity Basis'!$D$2:$D$153,"Recruiting Booster",'Complexity Basis'!$L$2:$L$153,"Complex",'Complexity Basis'!$M$2:$M$153,"Yes")</f>
        <v>0</v>
      </c>
      <c r="I27" s="28" t="n">
        <f aca="false">COUNTIFS('Complexity Basis'!$D$2:$D$153,"Recruiting Booster",'Complexity Basis'!$M$2:$M$153,"No")</f>
        <v>2</v>
      </c>
    </row>
    <row r="28" customFormat="false" ht="15" hidden="false" customHeight="false" outlineLevel="0" collapsed="false">
      <c r="C28" s="6" t="s">
        <v>83</v>
      </c>
      <c r="D28" s="21" t="n">
        <f aca="false">SUM(D17:D27)</f>
        <v>152</v>
      </c>
      <c r="E28" s="21" t="n">
        <f aca="false">SUM(E17:E27)</f>
        <v>144</v>
      </c>
      <c r="F28" s="21" t="n">
        <f aca="false">SUM(F17:F27)</f>
        <v>34</v>
      </c>
      <c r="G28" s="21" t="n">
        <f aca="false">SUM(G17:G27)</f>
        <v>89</v>
      </c>
      <c r="H28" s="21" t="n">
        <f aca="false">SUM(H17:H27)</f>
        <v>21</v>
      </c>
      <c r="I28" s="21" t="n">
        <f aca="false">SUM(I17:I27)</f>
        <v>8</v>
      </c>
    </row>
    <row r="30" customFormat="false" ht="19.5" hidden="false" customHeight="true" outlineLevel="0" collapsed="false">
      <c r="B30" s="3" t="s">
        <v>103</v>
      </c>
      <c r="C30" s="3"/>
      <c r="D30" s="3"/>
      <c r="E30" s="3"/>
      <c r="F30" s="3"/>
      <c r="G30" s="3"/>
      <c r="H30" s="3"/>
    </row>
    <row r="31" customFormat="false" ht="91.5" hidden="false" customHeight="true" outlineLevel="0" collapsed="false">
      <c r="C31" s="29" t="s">
        <v>104</v>
      </c>
      <c r="D31" s="15" t="s">
        <v>105</v>
      </c>
      <c r="E31" s="15"/>
      <c r="F31" s="15"/>
      <c r="G31" s="15"/>
      <c r="H31" s="15"/>
    </row>
    <row r="32" customFormat="false" ht="33.75" hidden="false" customHeight="true" outlineLevel="0" collapsed="false">
      <c r="C32" s="29" t="s">
        <v>106</v>
      </c>
      <c r="D32" s="15" t="s">
        <v>107</v>
      </c>
      <c r="E32" s="15"/>
      <c r="F32" s="15"/>
      <c r="G32" s="15"/>
      <c r="H32" s="15"/>
    </row>
    <row r="33" customFormat="false" ht="33.75" hidden="false" customHeight="true" outlineLevel="0" collapsed="false">
      <c r="C33" s="29" t="s">
        <v>108</v>
      </c>
      <c r="D33" s="15" t="s">
        <v>109</v>
      </c>
      <c r="E33" s="15"/>
      <c r="F33" s="15"/>
      <c r="G33" s="15"/>
      <c r="H33" s="15"/>
    </row>
    <row r="34" customFormat="false" ht="33.75" hidden="false" customHeight="true" outlineLevel="0" collapsed="false">
      <c r="C34" s="29" t="s">
        <v>110</v>
      </c>
      <c r="D34" s="15" t="s">
        <v>111</v>
      </c>
      <c r="E34" s="15"/>
      <c r="F34" s="15"/>
      <c r="G34" s="15"/>
      <c r="H34" s="15"/>
    </row>
    <row r="36" customFormat="false" ht="19.5" hidden="false" customHeight="true" outlineLevel="0" collapsed="false">
      <c r="B36" s="3" t="s">
        <v>112</v>
      </c>
      <c r="C36" s="3"/>
      <c r="D36" s="3"/>
      <c r="E36" s="3"/>
      <c r="F36" s="3"/>
      <c r="G36" s="3"/>
      <c r="H36" s="3"/>
    </row>
    <row r="37" customFormat="false" ht="30" hidden="false" customHeight="true" outlineLevel="0" collapsed="false">
      <c r="C37" s="25" t="s">
        <v>113</v>
      </c>
      <c r="D37" s="25" t="s">
        <v>114</v>
      </c>
      <c r="E37" s="25" t="s">
        <v>115</v>
      </c>
      <c r="F37" s="25" t="s">
        <v>116</v>
      </c>
    </row>
    <row r="38" customFormat="false" ht="43.5" hidden="false" customHeight="true" outlineLevel="0" collapsed="false">
      <c r="C38" s="30" t="s">
        <v>117</v>
      </c>
      <c r="D38" s="5" t="s">
        <v>92</v>
      </c>
      <c r="E38" s="31" t="s">
        <v>118</v>
      </c>
      <c r="F38" s="15" t="s">
        <v>119</v>
      </c>
      <c r="G38" s="15"/>
      <c r="H38" s="15"/>
    </row>
    <row r="39" customFormat="false" ht="43.5" hidden="false" customHeight="true" outlineLevel="0" collapsed="false">
      <c r="C39" s="30" t="s">
        <v>120</v>
      </c>
      <c r="D39" s="5" t="s">
        <v>92</v>
      </c>
      <c r="E39" s="31" t="s">
        <v>121</v>
      </c>
      <c r="F39" s="15" t="s">
        <v>122</v>
      </c>
      <c r="G39" s="15"/>
      <c r="H39" s="15"/>
    </row>
    <row r="40" customFormat="false" ht="43.5" hidden="false" customHeight="true" outlineLevel="0" collapsed="false">
      <c r="C40" s="30" t="s">
        <v>123</v>
      </c>
      <c r="D40" s="5" t="s">
        <v>96</v>
      </c>
      <c r="E40" s="31" t="s">
        <v>124</v>
      </c>
      <c r="F40" s="15" t="s">
        <v>119</v>
      </c>
      <c r="G40" s="15"/>
      <c r="H40" s="15"/>
    </row>
    <row r="41" customFormat="false" ht="43.5" hidden="false" customHeight="true" outlineLevel="0" collapsed="false">
      <c r="C41" s="30" t="s">
        <v>125</v>
      </c>
      <c r="D41" s="5" t="s">
        <v>100</v>
      </c>
      <c r="E41" s="31" t="s">
        <v>126</v>
      </c>
      <c r="F41" s="15" t="s">
        <v>122</v>
      </c>
      <c r="G41" s="15"/>
      <c r="H41" s="15"/>
    </row>
    <row r="42" customFormat="false" ht="43.5" hidden="false" customHeight="true" outlineLevel="0" collapsed="false">
      <c r="C42" s="30" t="s">
        <v>127</v>
      </c>
      <c r="D42" s="5" t="s">
        <v>102</v>
      </c>
      <c r="E42" s="31" t="s">
        <v>128</v>
      </c>
      <c r="F42" s="15" t="s">
        <v>129</v>
      </c>
      <c r="G42" s="15"/>
      <c r="H42" s="15"/>
    </row>
    <row r="43" customFormat="false" ht="43.5" hidden="false" customHeight="true" outlineLevel="0" collapsed="false">
      <c r="C43" s="30" t="s">
        <v>130</v>
      </c>
      <c r="D43" s="5" t="s">
        <v>102</v>
      </c>
      <c r="E43" s="31" t="s">
        <v>131</v>
      </c>
      <c r="F43" s="15" t="s">
        <v>122</v>
      </c>
      <c r="G43" s="15"/>
      <c r="H43" s="15"/>
    </row>
    <row r="44" customFormat="false" ht="43.5" hidden="false" customHeight="true" outlineLevel="0" collapsed="false">
      <c r="C44" s="30" t="s">
        <v>132</v>
      </c>
      <c r="D44" s="5" t="s">
        <v>100</v>
      </c>
      <c r="E44" s="31" t="s">
        <v>133</v>
      </c>
      <c r="F44" s="15" t="s">
        <v>119</v>
      </c>
      <c r="G44" s="15"/>
      <c r="H44" s="15"/>
    </row>
    <row r="45" customFormat="false" ht="43.5" hidden="false" customHeight="true" outlineLevel="0" collapsed="false">
      <c r="C45" s="30" t="s">
        <v>134</v>
      </c>
      <c r="D45" s="5" t="s">
        <v>100</v>
      </c>
      <c r="E45" s="31" t="s">
        <v>135</v>
      </c>
      <c r="F45" s="15" t="s">
        <v>119</v>
      </c>
      <c r="G45" s="15"/>
      <c r="H45" s="15"/>
    </row>
    <row r="47" customFormat="false" ht="15" hidden="false" customHeight="false" outlineLevel="0" collapsed="false">
      <c r="C47" s="32" t="s">
        <v>136</v>
      </c>
      <c r="D47" s="32"/>
      <c r="E47" s="32"/>
      <c r="F47" s="32"/>
      <c r="G47" s="32"/>
      <c r="H47" s="32"/>
    </row>
  </sheetData>
  <mergeCells count="20">
    <mergeCell ref="B2:H2"/>
    <mergeCell ref="B3:H3"/>
    <mergeCell ref="B5:H5"/>
    <mergeCell ref="B10:H10"/>
    <mergeCell ref="B15:H15"/>
    <mergeCell ref="B30:H30"/>
    <mergeCell ref="D31:H31"/>
    <mergeCell ref="D32:H32"/>
    <mergeCell ref="D33:H33"/>
    <mergeCell ref="D34:H34"/>
    <mergeCell ref="B36:H36"/>
    <mergeCell ref="F38:H38"/>
    <mergeCell ref="F39:H39"/>
    <mergeCell ref="F40:H40"/>
    <mergeCell ref="F41:H41"/>
    <mergeCell ref="F42:H42"/>
    <mergeCell ref="F43:H43"/>
    <mergeCell ref="F44:H44"/>
    <mergeCell ref="F45:H45"/>
    <mergeCell ref="C47:H47"/>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5"/>
    <col collapsed="false" customWidth="true" hidden="false" outlineLevel="0" max="4" min="4" style="0" width="26"/>
    <col collapsed="false" customWidth="true" hidden="false" outlineLevel="0" max="5" min="5" style="0" width="34"/>
    <col collapsed="false" customWidth="true" hidden="false" outlineLevel="0" max="6" min="6" style="0" width="10"/>
    <col collapsed="false" customWidth="true" hidden="false" outlineLevel="0" max="7" min="7" style="0" width="13"/>
    <col collapsed="false" customWidth="true" hidden="false" outlineLevel="0" max="9" min="8" style="0" width="10"/>
    <col collapsed="false" customWidth="true" hidden="false" outlineLevel="0" max="10" min="10" style="0" width="12"/>
    <col collapsed="false" customWidth="true" hidden="false" outlineLevel="0" max="11" min="11" style="0" width="11"/>
    <col collapsed="false" customWidth="true" hidden="false" outlineLevel="0" max="12" min="12" style="0" width="13"/>
    <col collapsed="false" customWidth="true" hidden="false" outlineLevel="0" max="13" min="13" style="0" width="12"/>
    <col collapsed="false" customWidth="true" hidden="false" outlineLevel="0" max="14" min="14" style="0" width="30"/>
    <col collapsed="false" customWidth="true" hidden="false" outlineLevel="0" max="15" min="15" style="0" width="54"/>
  </cols>
  <sheetData>
    <row r="1" customFormat="false" ht="30" hidden="false" customHeight="true" outlineLevel="0" collapsed="false">
      <c r="A1" s="25" t="s">
        <v>137</v>
      </c>
      <c r="B1" s="25" t="s">
        <v>113</v>
      </c>
      <c r="C1" s="25" t="s">
        <v>138</v>
      </c>
      <c r="D1" s="25" t="s">
        <v>88</v>
      </c>
      <c r="E1" s="25" t="s">
        <v>115</v>
      </c>
      <c r="F1" s="25" t="s">
        <v>139</v>
      </c>
      <c r="G1" s="25" t="s">
        <v>140</v>
      </c>
      <c r="H1" s="25" t="s">
        <v>141</v>
      </c>
      <c r="I1" s="25" t="s">
        <v>142</v>
      </c>
      <c r="J1" s="25" t="s">
        <v>143</v>
      </c>
      <c r="K1" s="25" t="s">
        <v>144</v>
      </c>
      <c r="L1" s="25" t="s">
        <v>145</v>
      </c>
      <c r="M1" s="25" t="s">
        <v>76</v>
      </c>
      <c r="N1" s="25" t="s">
        <v>146</v>
      </c>
      <c r="O1" s="25" t="s">
        <v>147</v>
      </c>
    </row>
    <row r="2" customFormat="false" ht="15" hidden="false" customHeight="false" outlineLevel="0" collapsed="false">
      <c r="A2" s="33" t="n">
        <v>1</v>
      </c>
      <c r="B2" s="34" t="s">
        <v>148</v>
      </c>
      <c r="C2" s="34" t="s">
        <v>149</v>
      </c>
      <c r="D2" s="15" t="s">
        <v>95</v>
      </c>
      <c r="E2" s="15" t="s">
        <v>150</v>
      </c>
      <c r="F2" s="33" t="s">
        <v>81</v>
      </c>
      <c r="G2" s="33" t="s">
        <v>151</v>
      </c>
      <c r="H2" s="33" t="s">
        <v>152</v>
      </c>
      <c r="I2" s="33" t="n">
        <v>6</v>
      </c>
      <c r="J2" s="33" t="n">
        <v>3</v>
      </c>
      <c r="K2" s="33" t="n">
        <v>1</v>
      </c>
      <c r="L2" s="35" t="s">
        <v>80</v>
      </c>
      <c r="M2" s="35" t="s">
        <v>153</v>
      </c>
      <c r="N2" s="15" t="s">
        <v>154</v>
      </c>
      <c r="O2" s="15" t="s">
        <v>155</v>
      </c>
    </row>
    <row r="3" customFormat="false" ht="15" hidden="false" customHeight="false" outlineLevel="0" collapsed="false">
      <c r="A3" s="33" t="n">
        <v>2</v>
      </c>
      <c r="B3" s="34" t="s">
        <v>156</v>
      </c>
      <c r="C3" s="34" t="s">
        <v>157</v>
      </c>
      <c r="D3" s="15" t="s">
        <v>95</v>
      </c>
      <c r="E3" s="15" t="s">
        <v>158</v>
      </c>
      <c r="F3" s="33" t="s">
        <v>159</v>
      </c>
      <c r="G3" s="33" t="s">
        <v>151</v>
      </c>
      <c r="H3" s="33" t="s">
        <v>152</v>
      </c>
      <c r="I3" s="33" t="n">
        <v>5</v>
      </c>
      <c r="J3" s="33" t="n">
        <v>3</v>
      </c>
      <c r="K3" s="33" t="n">
        <v>3</v>
      </c>
      <c r="L3" s="36" t="s">
        <v>81</v>
      </c>
      <c r="M3" s="35" t="s">
        <v>153</v>
      </c>
      <c r="N3" s="15" t="s">
        <v>154</v>
      </c>
      <c r="O3" s="15" t="s">
        <v>160</v>
      </c>
    </row>
    <row r="4" customFormat="false" ht="15" hidden="false" customHeight="false" outlineLevel="0" collapsed="false">
      <c r="A4" s="33" t="n">
        <v>3</v>
      </c>
      <c r="B4" s="34" t="s">
        <v>161</v>
      </c>
      <c r="C4" s="34" t="s">
        <v>162</v>
      </c>
      <c r="D4" s="15" t="s">
        <v>95</v>
      </c>
      <c r="E4" s="15" t="s">
        <v>163</v>
      </c>
      <c r="F4" s="33" t="s">
        <v>81</v>
      </c>
      <c r="G4" s="33" t="s">
        <v>151</v>
      </c>
      <c r="H4" s="33" t="s">
        <v>152</v>
      </c>
      <c r="I4" s="33" t="n">
        <v>5</v>
      </c>
      <c r="J4" s="33" t="n">
        <v>2</v>
      </c>
      <c r="K4" s="33" t="n">
        <v>2</v>
      </c>
      <c r="L4" s="36" t="s">
        <v>81</v>
      </c>
      <c r="M4" s="35" t="s">
        <v>153</v>
      </c>
      <c r="N4" s="15" t="s">
        <v>154</v>
      </c>
      <c r="O4" s="15" t="s">
        <v>164</v>
      </c>
    </row>
    <row r="5" customFormat="false" ht="15" hidden="false" customHeight="false" outlineLevel="0" collapsed="false">
      <c r="A5" s="33" t="n">
        <v>4</v>
      </c>
      <c r="B5" s="34" t="s">
        <v>165</v>
      </c>
      <c r="C5" s="34" t="s">
        <v>162</v>
      </c>
      <c r="D5" s="15" t="s">
        <v>95</v>
      </c>
      <c r="E5" s="15" t="s">
        <v>163</v>
      </c>
      <c r="F5" s="33" t="s">
        <v>81</v>
      </c>
      <c r="G5" s="33" t="s">
        <v>151</v>
      </c>
      <c r="H5" s="33" t="s">
        <v>166</v>
      </c>
      <c r="I5" s="33" t="n">
        <v>6</v>
      </c>
      <c r="J5" s="33" t="n">
        <v>1</v>
      </c>
      <c r="K5" s="33" t="n">
        <v>-1</v>
      </c>
      <c r="L5" s="35" t="s">
        <v>80</v>
      </c>
      <c r="M5" s="35" t="s">
        <v>153</v>
      </c>
      <c r="N5" s="15" t="s">
        <v>154</v>
      </c>
      <c r="O5" s="15" t="s">
        <v>167</v>
      </c>
    </row>
    <row r="6" customFormat="false" ht="15" hidden="false" customHeight="false" outlineLevel="0" collapsed="false">
      <c r="A6" s="33" t="n">
        <v>5</v>
      </c>
      <c r="B6" s="34" t="s">
        <v>168</v>
      </c>
      <c r="C6" s="34" t="s">
        <v>169</v>
      </c>
      <c r="D6" s="15" t="s">
        <v>95</v>
      </c>
      <c r="E6" s="15" t="s">
        <v>170</v>
      </c>
      <c r="F6" s="33" t="s">
        <v>81</v>
      </c>
      <c r="G6" s="33" t="s">
        <v>151</v>
      </c>
      <c r="H6" s="33" t="s">
        <v>152</v>
      </c>
      <c r="I6" s="33" t="n">
        <v>5</v>
      </c>
      <c r="J6" s="33" t="n">
        <v>2</v>
      </c>
      <c r="K6" s="33" t="n">
        <v>3</v>
      </c>
      <c r="L6" s="36" t="s">
        <v>81</v>
      </c>
      <c r="M6" s="35" t="s">
        <v>153</v>
      </c>
      <c r="N6" s="15" t="s">
        <v>154</v>
      </c>
      <c r="O6" s="15" t="s">
        <v>171</v>
      </c>
    </row>
    <row r="7" customFormat="false" ht="15" hidden="false" customHeight="false" outlineLevel="0" collapsed="false">
      <c r="A7" s="33" t="n">
        <v>6</v>
      </c>
      <c r="B7" s="34" t="s">
        <v>172</v>
      </c>
      <c r="C7" s="34" t="s">
        <v>173</v>
      </c>
      <c r="D7" s="15" t="s">
        <v>95</v>
      </c>
      <c r="E7" s="15" t="s">
        <v>174</v>
      </c>
      <c r="F7" s="33" t="s">
        <v>175</v>
      </c>
      <c r="G7" s="33" t="s">
        <v>151</v>
      </c>
      <c r="H7" s="33" t="s">
        <v>152</v>
      </c>
      <c r="I7" s="33" t="n">
        <v>10</v>
      </c>
      <c r="J7" s="33" t="n">
        <v>2</v>
      </c>
      <c r="K7" s="33" t="n">
        <v>4</v>
      </c>
      <c r="L7" s="36" t="s">
        <v>81</v>
      </c>
      <c r="M7" s="35" t="s">
        <v>153</v>
      </c>
      <c r="N7" s="15" t="s">
        <v>154</v>
      </c>
      <c r="O7" s="15" t="s">
        <v>176</v>
      </c>
    </row>
    <row r="8" customFormat="false" ht="15" hidden="false" customHeight="false" outlineLevel="0" collapsed="false">
      <c r="A8" s="33" t="n">
        <v>7</v>
      </c>
      <c r="B8" s="34" t="s">
        <v>177</v>
      </c>
      <c r="C8" s="34" t="s">
        <v>173</v>
      </c>
      <c r="D8" s="15" t="s">
        <v>95</v>
      </c>
      <c r="E8" s="15" t="s">
        <v>174</v>
      </c>
      <c r="F8" s="33" t="s">
        <v>175</v>
      </c>
      <c r="G8" s="33" t="s">
        <v>151</v>
      </c>
      <c r="H8" s="33" t="s">
        <v>166</v>
      </c>
      <c r="I8" s="33" t="n">
        <v>8</v>
      </c>
      <c r="J8" s="33" t="n">
        <v>1</v>
      </c>
      <c r="K8" s="33" t="n">
        <v>2</v>
      </c>
      <c r="L8" s="36" t="s">
        <v>81</v>
      </c>
      <c r="M8" s="35" t="s">
        <v>153</v>
      </c>
      <c r="N8" s="15" t="s">
        <v>154</v>
      </c>
      <c r="O8" s="15" t="s">
        <v>178</v>
      </c>
    </row>
    <row r="9" customFormat="false" ht="15" hidden="false" customHeight="false" outlineLevel="0" collapsed="false">
      <c r="A9" s="33" t="n">
        <v>8</v>
      </c>
      <c r="B9" s="34" t="s">
        <v>179</v>
      </c>
      <c r="C9" s="34" t="s">
        <v>180</v>
      </c>
      <c r="D9" s="15" t="s">
        <v>95</v>
      </c>
      <c r="E9" s="15" t="s">
        <v>181</v>
      </c>
      <c r="F9" s="33" t="s">
        <v>81</v>
      </c>
      <c r="G9" s="33" t="s">
        <v>182</v>
      </c>
      <c r="H9" s="33" t="s">
        <v>152</v>
      </c>
      <c r="I9" s="33" t="n">
        <v>10</v>
      </c>
      <c r="J9" s="33" t="n">
        <v>1</v>
      </c>
      <c r="K9" s="33" t="n">
        <v>2</v>
      </c>
      <c r="L9" s="36" t="s">
        <v>81</v>
      </c>
      <c r="M9" s="35" t="s">
        <v>153</v>
      </c>
      <c r="N9" s="15" t="s">
        <v>154</v>
      </c>
      <c r="O9" s="15" t="s">
        <v>183</v>
      </c>
    </row>
    <row r="10" customFormat="false" ht="15" hidden="false" customHeight="false" outlineLevel="0" collapsed="false">
      <c r="A10" s="33" t="n">
        <v>9</v>
      </c>
      <c r="B10" s="34" t="s">
        <v>184</v>
      </c>
      <c r="C10" s="34" t="s">
        <v>180</v>
      </c>
      <c r="D10" s="15" t="s">
        <v>95</v>
      </c>
      <c r="E10" s="15" t="s">
        <v>181</v>
      </c>
      <c r="F10" s="33" t="s">
        <v>81</v>
      </c>
      <c r="G10" s="33" t="s">
        <v>182</v>
      </c>
      <c r="H10" s="33" t="s">
        <v>166</v>
      </c>
      <c r="I10" s="33" t="n">
        <v>8</v>
      </c>
      <c r="J10" s="33" t="n">
        <v>1</v>
      </c>
      <c r="K10" s="33" t="n">
        <v>2</v>
      </c>
      <c r="L10" s="36" t="s">
        <v>81</v>
      </c>
      <c r="M10" s="35" t="s">
        <v>153</v>
      </c>
      <c r="N10" s="15" t="s">
        <v>154</v>
      </c>
      <c r="O10" s="15" t="s">
        <v>185</v>
      </c>
    </row>
    <row r="11" customFormat="false" ht="15" hidden="false" customHeight="false" outlineLevel="0" collapsed="false">
      <c r="A11" s="33" t="n">
        <v>10</v>
      </c>
      <c r="B11" s="34" t="s">
        <v>186</v>
      </c>
      <c r="C11" s="34" t="s">
        <v>187</v>
      </c>
      <c r="D11" s="15" t="s">
        <v>95</v>
      </c>
      <c r="E11" s="15" t="s">
        <v>188</v>
      </c>
      <c r="F11" s="33" t="s">
        <v>159</v>
      </c>
      <c r="G11" s="33" t="s">
        <v>151</v>
      </c>
      <c r="H11" s="33" t="s">
        <v>152</v>
      </c>
      <c r="I11" s="33" t="n">
        <v>10</v>
      </c>
      <c r="J11" s="33" t="n">
        <v>1</v>
      </c>
      <c r="K11" s="33" t="n">
        <v>0</v>
      </c>
      <c r="L11" s="35" t="s">
        <v>80</v>
      </c>
      <c r="M11" s="35" t="s">
        <v>153</v>
      </c>
      <c r="N11" s="15" t="s">
        <v>154</v>
      </c>
      <c r="O11" s="15" t="s">
        <v>189</v>
      </c>
    </row>
    <row r="12" customFormat="false" ht="15" hidden="false" customHeight="false" outlineLevel="0" collapsed="false">
      <c r="A12" s="33" t="n">
        <v>11</v>
      </c>
      <c r="B12" s="34" t="s">
        <v>190</v>
      </c>
      <c r="C12" s="34" t="s">
        <v>191</v>
      </c>
      <c r="D12" s="15" t="s">
        <v>95</v>
      </c>
      <c r="E12" s="15" t="s">
        <v>192</v>
      </c>
      <c r="F12" s="33" t="s">
        <v>175</v>
      </c>
      <c r="G12" s="33" t="s">
        <v>151</v>
      </c>
      <c r="H12" s="33" t="s">
        <v>152</v>
      </c>
      <c r="I12" s="33" t="n">
        <v>10</v>
      </c>
      <c r="J12" s="33" t="n">
        <v>1</v>
      </c>
      <c r="K12" s="33" t="n">
        <v>2</v>
      </c>
      <c r="L12" s="36" t="s">
        <v>81</v>
      </c>
      <c r="M12" s="35" t="s">
        <v>153</v>
      </c>
      <c r="N12" s="15" t="s">
        <v>154</v>
      </c>
      <c r="O12" s="15" t="s">
        <v>193</v>
      </c>
    </row>
    <row r="13" customFormat="false" ht="15" hidden="false" customHeight="false" outlineLevel="0" collapsed="false">
      <c r="A13" s="33" t="n">
        <v>12</v>
      </c>
      <c r="B13" s="34" t="s">
        <v>194</v>
      </c>
      <c r="C13" s="34" t="s">
        <v>191</v>
      </c>
      <c r="D13" s="15" t="s">
        <v>95</v>
      </c>
      <c r="E13" s="15" t="s">
        <v>192</v>
      </c>
      <c r="F13" s="33" t="s">
        <v>175</v>
      </c>
      <c r="G13" s="33" t="s">
        <v>151</v>
      </c>
      <c r="H13" s="33" t="s">
        <v>166</v>
      </c>
      <c r="I13" s="33" t="n">
        <v>10</v>
      </c>
      <c r="J13" s="33" t="n">
        <v>1</v>
      </c>
      <c r="K13" s="33" t="n">
        <v>2</v>
      </c>
      <c r="L13" s="36" t="s">
        <v>81</v>
      </c>
      <c r="M13" s="35" t="s">
        <v>153</v>
      </c>
      <c r="N13" s="15" t="s">
        <v>154</v>
      </c>
      <c r="O13" s="15" t="s">
        <v>193</v>
      </c>
    </row>
    <row r="14" customFormat="false" ht="15" hidden="false" customHeight="false" outlineLevel="0" collapsed="false">
      <c r="A14" s="33" t="n">
        <v>13</v>
      </c>
      <c r="B14" s="34" t="s">
        <v>195</v>
      </c>
      <c r="C14" s="34" t="s">
        <v>196</v>
      </c>
      <c r="D14" s="15" t="s">
        <v>95</v>
      </c>
      <c r="E14" s="15" t="s">
        <v>197</v>
      </c>
      <c r="F14" s="33" t="s">
        <v>159</v>
      </c>
      <c r="G14" s="33" t="s">
        <v>151</v>
      </c>
      <c r="H14" s="33" t="s">
        <v>152</v>
      </c>
      <c r="I14" s="33" t="n">
        <v>8</v>
      </c>
      <c r="J14" s="33" t="n">
        <v>2</v>
      </c>
      <c r="K14" s="33" t="n">
        <v>3</v>
      </c>
      <c r="L14" s="36" t="s">
        <v>81</v>
      </c>
      <c r="M14" s="35" t="s">
        <v>153</v>
      </c>
      <c r="N14" s="15" t="s">
        <v>154</v>
      </c>
      <c r="O14" s="15" t="s">
        <v>198</v>
      </c>
    </row>
    <row r="15" customFormat="false" ht="15" hidden="false" customHeight="false" outlineLevel="0" collapsed="false">
      <c r="A15" s="33" t="n">
        <v>14</v>
      </c>
      <c r="B15" s="34" t="s">
        <v>199</v>
      </c>
      <c r="C15" s="34" t="s">
        <v>200</v>
      </c>
      <c r="D15" s="15" t="s">
        <v>95</v>
      </c>
      <c r="E15" s="15" t="s">
        <v>201</v>
      </c>
      <c r="F15" s="33" t="s">
        <v>81</v>
      </c>
      <c r="G15" s="33" t="s">
        <v>151</v>
      </c>
      <c r="H15" s="33" t="s">
        <v>152</v>
      </c>
      <c r="I15" s="33" t="n">
        <v>8</v>
      </c>
      <c r="J15" s="33" t="n">
        <v>0</v>
      </c>
      <c r="K15" s="33" t="n">
        <v>3</v>
      </c>
      <c r="L15" s="36" t="s">
        <v>81</v>
      </c>
      <c r="M15" s="35" t="s">
        <v>153</v>
      </c>
      <c r="N15" s="15" t="s">
        <v>154</v>
      </c>
      <c r="O15" s="15" t="s">
        <v>202</v>
      </c>
    </row>
    <row r="16" customFormat="false" ht="15" hidden="false" customHeight="false" outlineLevel="0" collapsed="false">
      <c r="A16" s="33" t="n">
        <v>15</v>
      </c>
      <c r="B16" s="34" t="s">
        <v>203</v>
      </c>
      <c r="C16" s="34" t="s">
        <v>200</v>
      </c>
      <c r="D16" s="15" t="s">
        <v>95</v>
      </c>
      <c r="E16" s="15" t="s">
        <v>201</v>
      </c>
      <c r="F16" s="33" t="s">
        <v>81</v>
      </c>
      <c r="G16" s="33" t="s">
        <v>151</v>
      </c>
      <c r="H16" s="33" t="s">
        <v>166</v>
      </c>
      <c r="I16" s="33" t="n">
        <v>8</v>
      </c>
      <c r="J16" s="33" t="n">
        <v>0</v>
      </c>
      <c r="K16" s="33" t="n">
        <v>1</v>
      </c>
      <c r="L16" s="35" t="s">
        <v>80</v>
      </c>
      <c r="M16" s="35" t="s">
        <v>153</v>
      </c>
      <c r="N16" s="15" t="s">
        <v>154</v>
      </c>
      <c r="O16" s="15" t="s">
        <v>204</v>
      </c>
    </row>
    <row r="17" customFormat="false" ht="15" hidden="false" customHeight="false" outlineLevel="0" collapsed="false">
      <c r="A17" s="33" t="n">
        <v>16</v>
      </c>
      <c r="B17" s="34" t="s">
        <v>205</v>
      </c>
      <c r="C17" s="34" t="s">
        <v>206</v>
      </c>
      <c r="D17" s="15" t="s">
        <v>95</v>
      </c>
      <c r="E17" s="15" t="s">
        <v>207</v>
      </c>
      <c r="F17" s="33" t="s">
        <v>159</v>
      </c>
      <c r="G17" s="33" t="s">
        <v>151</v>
      </c>
      <c r="H17" s="33" t="s">
        <v>152</v>
      </c>
      <c r="I17" s="33" t="n">
        <v>7</v>
      </c>
      <c r="J17" s="33" t="n">
        <v>1</v>
      </c>
      <c r="K17" s="33" t="n">
        <v>-1</v>
      </c>
      <c r="L17" s="35" t="s">
        <v>80</v>
      </c>
      <c r="M17" s="35" t="s">
        <v>153</v>
      </c>
      <c r="N17" s="15" t="s">
        <v>154</v>
      </c>
      <c r="O17" s="15" t="s">
        <v>208</v>
      </c>
    </row>
    <row r="18" customFormat="false" ht="15" hidden="false" customHeight="false" outlineLevel="0" collapsed="false">
      <c r="A18" s="33" t="n">
        <v>17</v>
      </c>
      <c r="B18" s="34" t="s">
        <v>209</v>
      </c>
      <c r="C18" s="34" t="s">
        <v>210</v>
      </c>
      <c r="D18" s="15" t="s">
        <v>95</v>
      </c>
      <c r="E18" s="15" t="s">
        <v>150</v>
      </c>
      <c r="F18" s="33" t="s">
        <v>159</v>
      </c>
      <c r="G18" s="33" t="s">
        <v>151</v>
      </c>
      <c r="H18" s="33" t="s">
        <v>152</v>
      </c>
      <c r="I18" s="33" t="n">
        <v>8</v>
      </c>
      <c r="J18" s="33" t="n">
        <v>2</v>
      </c>
      <c r="K18" s="33" t="n">
        <v>1</v>
      </c>
      <c r="L18" s="35" t="s">
        <v>80</v>
      </c>
      <c r="M18" s="35" t="s">
        <v>153</v>
      </c>
      <c r="N18" s="15" t="s">
        <v>154</v>
      </c>
      <c r="O18" s="15" t="s">
        <v>211</v>
      </c>
    </row>
    <row r="19" customFormat="false" ht="15" hidden="false" customHeight="false" outlineLevel="0" collapsed="false">
      <c r="A19" s="33" t="n">
        <v>18</v>
      </c>
      <c r="B19" s="34" t="s">
        <v>212</v>
      </c>
      <c r="C19" s="34" t="s">
        <v>210</v>
      </c>
      <c r="D19" s="15" t="s">
        <v>95</v>
      </c>
      <c r="E19" s="15" t="s">
        <v>150</v>
      </c>
      <c r="F19" s="33" t="s">
        <v>159</v>
      </c>
      <c r="G19" s="33" t="s">
        <v>151</v>
      </c>
      <c r="H19" s="33" t="s">
        <v>166</v>
      </c>
      <c r="I19" s="33" t="n">
        <v>9</v>
      </c>
      <c r="J19" s="33" t="n">
        <v>1</v>
      </c>
      <c r="K19" s="33" t="n">
        <v>1</v>
      </c>
      <c r="L19" s="35" t="s">
        <v>80</v>
      </c>
      <c r="M19" s="35" t="s">
        <v>153</v>
      </c>
      <c r="N19" s="15" t="s">
        <v>154</v>
      </c>
      <c r="O19" s="15" t="s">
        <v>213</v>
      </c>
    </row>
    <row r="20" customFormat="false" ht="15" hidden="false" customHeight="false" outlineLevel="0" collapsed="false">
      <c r="A20" s="33" t="n">
        <v>19</v>
      </c>
      <c r="B20" s="34" t="s">
        <v>214</v>
      </c>
      <c r="C20" s="34" t="s">
        <v>215</v>
      </c>
      <c r="D20" s="15" t="s">
        <v>95</v>
      </c>
      <c r="E20" s="15" t="s">
        <v>150</v>
      </c>
      <c r="F20" s="33" t="s">
        <v>159</v>
      </c>
      <c r="G20" s="33" t="s">
        <v>151</v>
      </c>
      <c r="H20" s="33" t="s">
        <v>152</v>
      </c>
      <c r="I20" s="33" t="n">
        <v>7</v>
      </c>
      <c r="J20" s="33" t="n">
        <v>1</v>
      </c>
      <c r="K20" s="33" t="n">
        <v>-1</v>
      </c>
      <c r="L20" s="35" t="s">
        <v>80</v>
      </c>
      <c r="M20" s="35" t="s">
        <v>153</v>
      </c>
      <c r="N20" s="15" t="s">
        <v>154</v>
      </c>
      <c r="O20" s="15" t="s">
        <v>208</v>
      </c>
    </row>
    <row r="21" customFormat="false" ht="15" hidden="false" customHeight="false" outlineLevel="0" collapsed="false">
      <c r="A21" s="33" t="n">
        <v>20</v>
      </c>
      <c r="B21" s="34" t="s">
        <v>117</v>
      </c>
      <c r="C21" s="34" t="s">
        <v>216</v>
      </c>
      <c r="D21" s="15" t="s">
        <v>92</v>
      </c>
      <c r="E21" s="15" t="s">
        <v>118</v>
      </c>
      <c r="F21" s="33" t="s">
        <v>81</v>
      </c>
      <c r="G21" s="33" t="s">
        <v>151</v>
      </c>
      <c r="H21" s="33" t="s">
        <v>152</v>
      </c>
      <c r="I21" s="33" t="n">
        <v>14</v>
      </c>
      <c r="J21" s="33" t="n">
        <v>2</v>
      </c>
      <c r="K21" s="33" t="n">
        <v>7</v>
      </c>
      <c r="L21" s="37" t="s">
        <v>82</v>
      </c>
      <c r="M21" s="37" t="s">
        <v>217</v>
      </c>
      <c r="N21" s="15" t="s">
        <v>218</v>
      </c>
      <c r="O21" s="15" t="s">
        <v>219</v>
      </c>
    </row>
    <row r="22" customFormat="false" ht="15" hidden="false" customHeight="false" outlineLevel="0" collapsed="false">
      <c r="A22" s="33" t="n">
        <v>21</v>
      </c>
      <c r="B22" s="34" t="s">
        <v>220</v>
      </c>
      <c r="C22" s="34" t="s">
        <v>221</v>
      </c>
      <c r="D22" s="15" t="s">
        <v>92</v>
      </c>
      <c r="E22" s="15" t="s">
        <v>222</v>
      </c>
      <c r="F22" s="33" t="s">
        <v>81</v>
      </c>
      <c r="G22" s="33" t="s">
        <v>151</v>
      </c>
      <c r="H22" s="33" t="s">
        <v>152</v>
      </c>
      <c r="I22" s="33" t="n">
        <v>10</v>
      </c>
      <c r="J22" s="33" t="n">
        <v>1</v>
      </c>
      <c r="K22" s="33" t="n">
        <v>2</v>
      </c>
      <c r="L22" s="36" t="s">
        <v>81</v>
      </c>
      <c r="M22" s="35" t="s">
        <v>153</v>
      </c>
      <c r="N22" s="15" t="s">
        <v>154</v>
      </c>
      <c r="O22" s="15" t="s">
        <v>223</v>
      </c>
    </row>
    <row r="23" customFormat="false" ht="15" hidden="false" customHeight="false" outlineLevel="0" collapsed="false">
      <c r="A23" s="33" t="n">
        <v>22</v>
      </c>
      <c r="B23" s="34" t="s">
        <v>224</v>
      </c>
      <c r="C23" s="34" t="s">
        <v>221</v>
      </c>
      <c r="D23" s="15" t="s">
        <v>92</v>
      </c>
      <c r="E23" s="15" t="s">
        <v>222</v>
      </c>
      <c r="F23" s="33" t="s">
        <v>81</v>
      </c>
      <c r="G23" s="33" t="s">
        <v>151</v>
      </c>
      <c r="H23" s="33" t="s">
        <v>166</v>
      </c>
      <c r="I23" s="33" t="n">
        <v>9</v>
      </c>
      <c r="J23" s="33" t="n">
        <v>1</v>
      </c>
      <c r="K23" s="33" t="n">
        <v>0</v>
      </c>
      <c r="L23" s="35" t="s">
        <v>80</v>
      </c>
      <c r="M23" s="35" t="s">
        <v>153</v>
      </c>
      <c r="N23" s="15" t="s">
        <v>154</v>
      </c>
      <c r="O23" s="15" t="s">
        <v>225</v>
      </c>
    </row>
    <row r="24" customFormat="false" ht="15" hidden="false" customHeight="false" outlineLevel="0" collapsed="false">
      <c r="A24" s="33" t="n">
        <v>23</v>
      </c>
      <c r="B24" s="34" t="s">
        <v>226</v>
      </c>
      <c r="C24" s="34" t="s">
        <v>227</v>
      </c>
      <c r="D24" s="15" t="s">
        <v>92</v>
      </c>
      <c r="E24" s="15" t="s">
        <v>222</v>
      </c>
      <c r="F24" s="33" t="s">
        <v>81</v>
      </c>
      <c r="G24" s="33" t="s">
        <v>151</v>
      </c>
      <c r="H24" s="33" t="s">
        <v>152</v>
      </c>
      <c r="I24" s="33" t="n">
        <v>10</v>
      </c>
      <c r="J24" s="33" t="n">
        <v>1</v>
      </c>
      <c r="K24" s="33" t="n">
        <v>2</v>
      </c>
      <c r="L24" s="36" t="s">
        <v>81</v>
      </c>
      <c r="M24" s="35" t="s">
        <v>153</v>
      </c>
      <c r="N24" s="15" t="s">
        <v>154</v>
      </c>
      <c r="O24" s="15" t="s">
        <v>228</v>
      </c>
    </row>
    <row r="25" customFormat="false" ht="15" hidden="false" customHeight="false" outlineLevel="0" collapsed="false">
      <c r="A25" s="33" t="n">
        <v>24</v>
      </c>
      <c r="B25" s="34" t="s">
        <v>229</v>
      </c>
      <c r="C25" s="34" t="s">
        <v>230</v>
      </c>
      <c r="D25" s="15" t="s">
        <v>92</v>
      </c>
      <c r="E25" s="15" t="s">
        <v>231</v>
      </c>
      <c r="F25" s="33" t="s">
        <v>175</v>
      </c>
      <c r="G25" s="33" t="s">
        <v>151</v>
      </c>
      <c r="H25" s="33" t="s">
        <v>152</v>
      </c>
      <c r="I25" s="33" t="n">
        <v>15</v>
      </c>
      <c r="J25" s="33" t="n">
        <v>1</v>
      </c>
      <c r="K25" s="33" t="n">
        <v>5</v>
      </c>
      <c r="L25" s="37" t="s">
        <v>82</v>
      </c>
      <c r="M25" s="35" t="s">
        <v>153</v>
      </c>
      <c r="N25" s="15" t="s">
        <v>232</v>
      </c>
      <c r="O25" s="15" t="s">
        <v>233</v>
      </c>
    </row>
    <row r="26" customFormat="false" ht="15" hidden="false" customHeight="false" outlineLevel="0" collapsed="false">
      <c r="A26" s="33" t="n">
        <v>25</v>
      </c>
      <c r="B26" s="34" t="s">
        <v>234</v>
      </c>
      <c r="C26" s="34" t="s">
        <v>230</v>
      </c>
      <c r="D26" s="15" t="s">
        <v>92</v>
      </c>
      <c r="E26" s="15" t="s">
        <v>231</v>
      </c>
      <c r="F26" s="33" t="s">
        <v>175</v>
      </c>
      <c r="G26" s="33" t="s">
        <v>151</v>
      </c>
      <c r="H26" s="33" t="s">
        <v>166</v>
      </c>
      <c r="I26" s="33" t="n">
        <v>8</v>
      </c>
      <c r="J26" s="33" t="n">
        <v>1</v>
      </c>
      <c r="K26" s="33" t="n">
        <v>1</v>
      </c>
      <c r="L26" s="35" t="s">
        <v>80</v>
      </c>
      <c r="M26" s="35" t="s">
        <v>153</v>
      </c>
      <c r="N26" s="15" t="s">
        <v>154</v>
      </c>
      <c r="O26" s="15" t="s">
        <v>235</v>
      </c>
    </row>
    <row r="27" customFormat="false" ht="15" hidden="false" customHeight="false" outlineLevel="0" collapsed="false">
      <c r="A27" s="33" t="n">
        <v>26</v>
      </c>
      <c r="B27" s="34" t="s">
        <v>236</v>
      </c>
      <c r="C27" s="34" t="s">
        <v>237</v>
      </c>
      <c r="D27" s="15" t="s">
        <v>92</v>
      </c>
      <c r="E27" s="15" t="s">
        <v>238</v>
      </c>
      <c r="F27" s="33" t="s">
        <v>175</v>
      </c>
      <c r="G27" s="33" t="s">
        <v>151</v>
      </c>
      <c r="H27" s="33" t="s">
        <v>152</v>
      </c>
      <c r="I27" s="33" t="n">
        <v>13</v>
      </c>
      <c r="J27" s="33" t="n">
        <v>3</v>
      </c>
      <c r="K27" s="33" t="n">
        <v>4</v>
      </c>
      <c r="L27" s="36" t="s">
        <v>81</v>
      </c>
      <c r="M27" s="35" t="s">
        <v>153</v>
      </c>
      <c r="N27" s="15" t="s">
        <v>154</v>
      </c>
      <c r="O27" s="15" t="s">
        <v>239</v>
      </c>
    </row>
    <row r="28" customFormat="false" ht="15" hidden="false" customHeight="false" outlineLevel="0" collapsed="false">
      <c r="A28" s="33" t="n">
        <v>27</v>
      </c>
      <c r="B28" s="34" t="s">
        <v>240</v>
      </c>
      <c r="C28" s="34" t="s">
        <v>237</v>
      </c>
      <c r="D28" s="15" t="s">
        <v>92</v>
      </c>
      <c r="E28" s="15" t="s">
        <v>238</v>
      </c>
      <c r="F28" s="33" t="s">
        <v>175</v>
      </c>
      <c r="G28" s="33" t="s">
        <v>151</v>
      </c>
      <c r="H28" s="33" t="s">
        <v>166</v>
      </c>
      <c r="I28" s="33" t="n">
        <v>10</v>
      </c>
      <c r="J28" s="33" t="n">
        <v>0</v>
      </c>
      <c r="K28" s="33" t="n">
        <v>0</v>
      </c>
      <c r="L28" s="35" t="s">
        <v>80</v>
      </c>
      <c r="M28" s="35" t="s">
        <v>153</v>
      </c>
      <c r="N28" s="15" t="s">
        <v>154</v>
      </c>
      <c r="O28" s="15" t="s">
        <v>189</v>
      </c>
    </row>
    <row r="29" customFormat="false" ht="15" hidden="false" customHeight="false" outlineLevel="0" collapsed="false">
      <c r="A29" s="33" t="n">
        <v>28</v>
      </c>
      <c r="B29" s="34" t="s">
        <v>241</v>
      </c>
      <c r="C29" s="34" t="s">
        <v>242</v>
      </c>
      <c r="D29" s="15" t="s">
        <v>92</v>
      </c>
      <c r="E29" s="15" t="s">
        <v>243</v>
      </c>
      <c r="F29" s="33" t="s">
        <v>175</v>
      </c>
      <c r="G29" s="33" t="s">
        <v>151</v>
      </c>
      <c r="H29" s="33" t="s">
        <v>152</v>
      </c>
      <c r="I29" s="33" t="n">
        <v>10</v>
      </c>
      <c r="J29" s="33" t="n">
        <v>2</v>
      </c>
      <c r="K29" s="33" t="n">
        <v>2</v>
      </c>
      <c r="L29" s="36" t="s">
        <v>81</v>
      </c>
      <c r="M29" s="35" t="s">
        <v>153</v>
      </c>
      <c r="N29" s="15" t="s">
        <v>154</v>
      </c>
      <c r="O29" s="15" t="s">
        <v>244</v>
      </c>
    </row>
    <row r="30" customFormat="false" ht="15" hidden="false" customHeight="false" outlineLevel="0" collapsed="false">
      <c r="A30" s="33" t="n">
        <v>29</v>
      </c>
      <c r="B30" s="34" t="s">
        <v>245</v>
      </c>
      <c r="C30" s="34" t="s">
        <v>246</v>
      </c>
      <c r="D30" s="15" t="s">
        <v>92</v>
      </c>
      <c r="E30" s="15" t="s">
        <v>247</v>
      </c>
      <c r="F30" s="33" t="s">
        <v>175</v>
      </c>
      <c r="G30" s="33" t="s">
        <v>151</v>
      </c>
      <c r="H30" s="33" t="s">
        <v>152</v>
      </c>
      <c r="I30" s="33" t="n">
        <v>11</v>
      </c>
      <c r="J30" s="33" t="n">
        <v>1</v>
      </c>
      <c r="K30" s="33" t="n">
        <v>0</v>
      </c>
      <c r="L30" s="35" t="s">
        <v>80</v>
      </c>
      <c r="M30" s="35" t="s">
        <v>153</v>
      </c>
      <c r="N30" s="15" t="s">
        <v>154</v>
      </c>
      <c r="O30" s="15" t="s">
        <v>248</v>
      </c>
    </row>
    <row r="31" customFormat="false" ht="15" hidden="false" customHeight="false" outlineLevel="0" collapsed="false">
      <c r="A31" s="33" t="n">
        <v>30</v>
      </c>
      <c r="B31" s="34" t="s">
        <v>249</v>
      </c>
      <c r="C31" s="34" t="s">
        <v>246</v>
      </c>
      <c r="D31" s="15" t="s">
        <v>92</v>
      </c>
      <c r="E31" s="15" t="s">
        <v>247</v>
      </c>
      <c r="F31" s="33" t="s">
        <v>175</v>
      </c>
      <c r="G31" s="33" t="s">
        <v>151</v>
      </c>
      <c r="H31" s="33" t="s">
        <v>166</v>
      </c>
      <c r="I31" s="33" t="n">
        <v>9</v>
      </c>
      <c r="J31" s="33" t="n">
        <v>1</v>
      </c>
      <c r="K31" s="33" t="n">
        <v>3</v>
      </c>
      <c r="L31" s="36" t="s">
        <v>81</v>
      </c>
      <c r="M31" s="35" t="s">
        <v>153</v>
      </c>
      <c r="N31" s="15" t="s">
        <v>154</v>
      </c>
      <c r="O31" s="15" t="s">
        <v>250</v>
      </c>
    </row>
    <row r="32" customFormat="false" ht="15" hidden="false" customHeight="false" outlineLevel="0" collapsed="false">
      <c r="A32" s="33" t="n">
        <v>31</v>
      </c>
      <c r="B32" s="34" t="s">
        <v>251</v>
      </c>
      <c r="C32" s="34" t="s">
        <v>252</v>
      </c>
      <c r="D32" s="15" t="s">
        <v>99</v>
      </c>
      <c r="E32" s="15" t="s">
        <v>253</v>
      </c>
      <c r="F32" s="33" t="s">
        <v>81</v>
      </c>
      <c r="G32" s="33" t="s">
        <v>151</v>
      </c>
      <c r="H32" s="33" t="s">
        <v>152</v>
      </c>
      <c r="I32" s="33" t="n">
        <v>15</v>
      </c>
      <c r="J32" s="33" t="n">
        <v>1</v>
      </c>
      <c r="K32" s="33" t="n">
        <v>2</v>
      </c>
      <c r="L32" s="36" t="s">
        <v>81</v>
      </c>
      <c r="M32" s="35" t="s">
        <v>153</v>
      </c>
      <c r="N32" s="15" t="s">
        <v>154</v>
      </c>
      <c r="O32" s="15" t="s">
        <v>254</v>
      </c>
    </row>
    <row r="33" customFormat="false" ht="15" hidden="false" customHeight="false" outlineLevel="0" collapsed="false">
      <c r="A33" s="33" t="n">
        <v>32</v>
      </c>
      <c r="B33" s="34" t="s">
        <v>255</v>
      </c>
      <c r="C33" s="34" t="s">
        <v>256</v>
      </c>
      <c r="D33" s="15" t="s">
        <v>99</v>
      </c>
      <c r="E33" s="15" t="s">
        <v>257</v>
      </c>
      <c r="F33" s="33" t="s">
        <v>81</v>
      </c>
      <c r="G33" s="33" t="s">
        <v>182</v>
      </c>
      <c r="H33" s="33" t="s">
        <v>152</v>
      </c>
      <c r="I33" s="33" t="n">
        <v>12</v>
      </c>
      <c r="J33" s="33" t="n">
        <v>2</v>
      </c>
      <c r="K33" s="33" t="n">
        <v>7</v>
      </c>
      <c r="L33" s="37" t="s">
        <v>82</v>
      </c>
      <c r="M33" s="35" t="s">
        <v>153</v>
      </c>
      <c r="N33" s="15" t="s">
        <v>154</v>
      </c>
      <c r="O33" s="15" t="s">
        <v>258</v>
      </c>
    </row>
    <row r="34" customFormat="false" ht="15" hidden="false" customHeight="false" outlineLevel="0" collapsed="false">
      <c r="A34" s="33" t="n">
        <v>33</v>
      </c>
      <c r="B34" s="34" t="s">
        <v>259</v>
      </c>
      <c r="C34" s="34" t="s">
        <v>260</v>
      </c>
      <c r="D34" s="15" t="s">
        <v>99</v>
      </c>
      <c r="E34" s="15" t="s">
        <v>261</v>
      </c>
      <c r="F34" s="33" t="s">
        <v>81</v>
      </c>
      <c r="G34" s="33" t="s">
        <v>151</v>
      </c>
      <c r="H34" s="33" t="s">
        <v>152</v>
      </c>
      <c r="I34" s="33" t="n">
        <v>13</v>
      </c>
      <c r="J34" s="33" t="n">
        <v>1</v>
      </c>
      <c r="K34" s="33" t="n">
        <v>5</v>
      </c>
      <c r="L34" s="37" t="s">
        <v>82</v>
      </c>
      <c r="M34" s="35" t="s">
        <v>153</v>
      </c>
      <c r="N34" s="15" t="s">
        <v>154</v>
      </c>
      <c r="O34" s="15" t="s">
        <v>262</v>
      </c>
    </row>
    <row r="35" customFormat="false" ht="15" hidden="false" customHeight="false" outlineLevel="0" collapsed="false">
      <c r="A35" s="33" t="n">
        <v>34</v>
      </c>
      <c r="B35" s="34" t="s">
        <v>263</v>
      </c>
      <c r="C35" s="34" t="s">
        <v>264</v>
      </c>
      <c r="D35" s="15" t="s">
        <v>92</v>
      </c>
      <c r="E35" s="15" t="s">
        <v>265</v>
      </c>
      <c r="F35" s="33" t="s">
        <v>81</v>
      </c>
      <c r="G35" s="33" t="s">
        <v>151</v>
      </c>
      <c r="H35" s="33" t="s">
        <v>152</v>
      </c>
      <c r="I35" s="33" t="n">
        <v>6</v>
      </c>
      <c r="J35" s="33" t="n">
        <v>1</v>
      </c>
      <c r="K35" s="33" t="n">
        <v>0</v>
      </c>
      <c r="L35" s="35" t="s">
        <v>80</v>
      </c>
      <c r="M35" s="35" t="s">
        <v>153</v>
      </c>
      <c r="N35" s="15" t="s">
        <v>154</v>
      </c>
      <c r="O35" s="15" t="s">
        <v>266</v>
      </c>
    </row>
    <row r="36" customFormat="false" ht="15" hidden="false" customHeight="false" outlineLevel="0" collapsed="false">
      <c r="A36" s="33" t="n">
        <v>35</v>
      </c>
      <c r="B36" s="34" t="s">
        <v>267</v>
      </c>
      <c r="C36" s="34" t="s">
        <v>268</v>
      </c>
      <c r="D36" s="15" t="s">
        <v>92</v>
      </c>
      <c r="E36" s="15" t="s">
        <v>269</v>
      </c>
      <c r="F36" s="33" t="s">
        <v>81</v>
      </c>
      <c r="G36" s="33" t="s">
        <v>151</v>
      </c>
      <c r="H36" s="33" t="s">
        <v>152</v>
      </c>
      <c r="I36" s="33" t="n">
        <v>11</v>
      </c>
      <c r="J36" s="33" t="n">
        <v>1</v>
      </c>
      <c r="K36" s="33" t="n">
        <v>2</v>
      </c>
      <c r="L36" s="36" t="s">
        <v>81</v>
      </c>
      <c r="M36" s="35" t="s">
        <v>153</v>
      </c>
      <c r="N36" s="15" t="s">
        <v>154</v>
      </c>
      <c r="O36" s="15" t="s">
        <v>270</v>
      </c>
    </row>
    <row r="37" customFormat="false" ht="15" hidden="false" customHeight="false" outlineLevel="0" collapsed="false">
      <c r="A37" s="33" t="n">
        <v>36</v>
      </c>
      <c r="B37" s="34" t="s">
        <v>271</v>
      </c>
      <c r="C37" s="34" t="s">
        <v>272</v>
      </c>
      <c r="D37" s="15" t="s">
        <v>92</v>
      </c>
      <c r="E37" s="15" t="s">
        <v>273</v>
      </c>
      <c r="F37" s="33" t="s">
        <v>81</v>
      </c>
      <c r="G37" s="33" t="s">
        <v>151</v>
      </c>
      <c r="H37" s="33" t="s">
        <v>152</v>
      </c>
      <c r="I37" s="33" t="n">
        <v>11</v>
      </c>
      <c r="J37" s="33" t="n">
        <v>1</v>
      </c>
      <c r="K37" s="33" t="n">
        <v>2</v>
      </c>
      <c r="L37" s="36" t="s">
        <v>81</v>
      </c>
      <c r="M37" s="35" t="s">
        <v>153</v>
      </c>
      <c r="N37" s="15" t="s">
        <v>154</v>
      </c>
      <c r="O37" s="15" t="s">
        <v>274</v>
      </c>
    </row>
    <row r="38" customFormat="false" ht="15" hidden="false" customHeight="false" outlineLevel="0" collapsed="false">
      <c r="A38" s="33" t="n">
        <v>37</v>
      </c>
      <c r="B38" s="34" t="s">
        <v>275</v>
      </c>
      <c r="C38" s="34" t="s">
        <v>272</v>
      </c>
      <c r="D38" s="15" t="s">
        <v>92</v>
      </c>
      <c r="E38" s="15" t="s">
        <v>273</v>
      </c>
      <c r="F38" s="33" t="s">
        <v>81</v>
      </c>
      <c r="G38" s="33" t="s">
        <v>151</v>
      </c>
      <c r="H38" s="33" t="s">
        <v>166</v>
      </c>
      <c r="I38" s="33" t="n">
        <v>10</v>
      </c>
      <c r="J38" s="33" t="n">
        <v>1</v>
      </c>
      <c r="K38" s="33" t="n">
        <v>1</v>
      </c>
      <c r="L38" s="35" t="s">
        <v>80</v>
      </c>
      <c r="M38" s="35" t="s">
        <v>153</v>
      </c>
      <c r="N38" s="15" t="s">
        <v>154</v>
      </c>
      <c r="O38" s="15" t="s">
        <v>276</v>
      </c>
    </row>
    <row r="39" customFormat="false" ht="15" hidden="false" customHeight="false" outlineLevel="0" collapsed="false">
      <c r="A39" s="33" t="n">
        <v>38</v>
      </c>
      <c r="B39" s="34" t="s">
        <v>277</v>
      </c>
      <c r="C39" s="34" t="s">
        <v>278</v>
      </c>
      <c r="D39" s="15" t="s">
        <v>93</v>
      </c>
      <c r="E39" s="15" t="s">
        <v>279</v>
      </c>
      <c r="F39" s="33" t="s">
        <v>81</v>
      </c>
      <c r="G39" s="33" t="s">
        <v>151</v>
      </c>
      <c r="H39" s="33" t="s">
        <v>152</v>
      </c>
      <c r="I39" s="33" t="n">
        <v>12</v>
      </c>
      <c r="J39" s="33" t="n">
        <v>1</v>
      </c>
      <c r="K39" s="33" t="n">
        <v>3</v>
      </c>
      <c r="L39" s="36" t="s">
        <v>81</v>
      </c>
      <c r="M39" s="35" t="s">
        <v>153</v>
      </c>
      <c r="N39" s="15" t="s">
        <v>154</v>
      </c>
      <c r="O39" s="15" t="s">
        <v>280</v>
      </c>
    </row>
    <row r="40" customFormat="false" ht="15" hidden="false" customHeight="false" outlineLevel="0" collapsed="false">
      <c r="A40" s="33" t="n">
        <v>39</v>
      </c>
      <c r="B40" s="34" t="s">
        <v>281</v>
      </c>
      <c r="C40" s="34" t="s">
        <v>282</v>
      </c>
      <c r="D40" s="15" t="s">
        <v>92</v>
      </c>
      <c r="E40" s="15" t="s">
        <v>283</v>
      </c>
      <c r="F40" s="33" t="s">
        <v>81</v>
      </c>
      <c r="G40" s="33" t="s">
        <v>151</v>
      </c>
      <c r="H40" s="33" t="s">
        <v>152</v>
      </c>
      <c r="I40" s="33" t="n">
        <v>13</v>
      </c>
      <c r="J40" s="33" t="n">
        <v>2</v>
      </c>
      <c r="K40" s="33" t="n">
        <v>4</v>
      </c>
      <c r="L40" s="36" t="s">
        <v>81</v>
      </c>
      <c r="M40" s="35" t="s">
        <v>153</v>
      </c>
      <c r="N40" s="15" t="s">
        <v>154</v>
      </c>
      <c r="O40" s="15" t="s">
        <v>284</v>
      </c>
    </row>
    <row r="41" customFormat="false" ht="15" hidden="false" customHeight="false" outlineLevel="0" collapsed="false">
      <c r="A41" s="33" t="n">
        <v>40</v>
      </c>
      <c r="B41" s="34" t="s">
        <v>285</v>
      </c>
      <c r="C41" s="34" t="s">
        <v>286</v>
      </c>
      <c r="D41" s="15" t="s">
        <v>92</v>
      </c>
      <c r="E41" s="15" t="s">
        <v>287</v>
      </c>
      <c r="F41" s="33" t="s">
        <v>81</v>
      </c>
      <c r="G41" s="33" t="s">
        <v>151</v>
      </c>
      <c r="H41" s="33" t="s">
        <v>152</v>
      </c>
      <c r="I41" s="33" t="n">
        <v>14</v>
      </c>
      <c r="J41" s="33" t="n">
        <v>1</v>
      </c>
      <c r="K41" s="33" t="n">
        <v>6</v>
      </c>
      <c r="L41" s="37" t="s">
        <v>82</v>
      </c>
      <c r="M41" s="35" t="s">
        <v>153</v>
      </c>
      <c r="N41" s="15" t="s">
        <v>154</v>
      </c>
      <c r="O41" s="15" t="s">
        <v>288</v>
      </c>
    </row>
    <row r="42" customFormat="false" ht="15" hidden="false" customHeight="false" outlineLevel="0" collapsed="false">
      <c r="A42" s="33" t="n">
        <v>41</v>
      </c>
      <c r="B42" s="34" t="s">
        <v>120</v>
      </c>
      <c r="C42" s="34" t="s">
        <v>289</v>
      </c>
      <c r="D42" s="15" t="s">
        <v>92</v>
      </c>
      <c r="E42" s="15" t="s">
        <v>121</v>
      </c>
      <c r="F42" s="33" t="s">
        <v>81</v>
      </c>
      <c r="G42" s="33" t="s">
        <v>290</v>
      </c>
      <c r="H42" s="33" t="s">
        <v>152</v>
      </c>
      <c r="I42" s="33" t="n">
        <v>11</v>
      </c>
      <c r="J42" s="33" t="n">
        <v>3</v>
      </c>
      <c r="K42" s="33" t="n">
        <v>4</v>
      </c>
      <c r="L42" s="36" t="s">
        <v>81</v>
      </c>
      <c r="M42" s="37" t="s">
        <v>217</v>
      </c>
      <c r="N42" s="15" t="s">
        <v>291</v>
      </c>
      <c r="O42" s="15" t="s">
        <v>292</v>
      </c>
    </row>
    <row r="43" customFormat="false" ht="15" hidden="false" customHeight="false" outlineLevel="0" collapsed="false">
      <c r="A43" s="33" t="n">
        <v>42</v>
      </c>
      <c r="B43" s="34" t="s">
        <v>293</v>
      </c>
      <c r="C43" s="34" t="s">
        <v>294</v>
      </c>
      <c r="D43" s="15" t="s">
        <v>92</v>
      </c>
      <c r="E43" s="15" t="s">
        <v>295</v>
      </c>
      <c r="F43" s="33" t="s">
        <v>81</v>
      </c>
      <c r="G43" s="33" t="s">
        <v>151</v>
      </c>
      <c r="H43" s="33" t="s">
        <v>152</v>
      </c>
      <c r="I43" s="33" t="n">
        <v>14</v>
      </c>
      <c r="J43" s="33" t="n">
        <v>1</v>
      </c>
      <c r="K43" s="33" t="n">
        <v>3</v>
      </c>
      <c r="L43" s="36" t="s">
        <v>81</v>
      </c>
      <c r="M43" s="35" t="s">
        <v>153</v>
      </c>
      <c r="N43" s="15" t="s">
        <v>154</v>
      </c>
      <c r="O43" s="15" t="s">
        <v>296</v>
      </c>
    </row>
    <row r="44" customFormat="false" ht="15" hidden="false" customHeight="false" outlineLevel="0" collapsed="false">
      <c r="A44" s="33" t="n">
        <v>43</v>
      </c>
      <c r="B44" s="34" t="s">
        <v>297</v>
      </c>
      <c r="C44" s="34" t="s">
        <v>294</v>
      </c>
      <c r="D44" s="15" t="s">
        <v>92</v>
      </c>
      <c r="E44" s="15" t="s">
        <v>295</v>
      </c>
      <c r="F44" s="33" t="s">
        <v>81</v>
      </c>
      <c r="G44" s="33" t="s">
        <v>151</v>
      </c>
      <c r="H44" s="33" t="s">
        <v>166</v>
      </c>
      <c r="I44" s="33" t="n">
        <v>8</v>
      </c>
      <c r="J44" s="33" t="n">
        <v>0</v>
      </c>
      <c r="K44" s="33" t="n">
        <v>1</v>
      </c>
      <c r="L44" s="35" t="s">
        <v>80</v>
      </c>
      <c r="M44" s="35" t="s">
        <v>153</v>
      </c>
      <c r="N44" s="15" t="s">
        <v>154</v>
      </c>
      <c r="O44" s="15" t="s">
        <v>204</v>
      </c>
    </row>
    <row r="45" customFormat="false" ht="15" hidden="false" customHeight="false" outlineLevel="0" collapsed="false">
      <c r="A45" s="33" t="n">
        <v>44</v>
      </c>
      <c r="B45" s="34" t="s">
        <v>298</v>
      </c>
      <c r="C45" s="34" t="s">
        <v>299</v>
      </c>
      <c r="D45" s="15" t="s">
        <v>99</v>
      </c>
      <c r="E45" s="15" t="s">
        <v>300</v>
      </c>
      <c r="F45" s="33" t="s">
        <v>81</v>
      </c>
      <c r="G45" s="33" t="s">
        <v>151</v>
      </c>
      <c r="H45" s="33" t="s">
        <v>152</v>
      </c>
      <c r="I45" s="33" t="n">
        <v>14</v>
      </c>
      <c r="J45" s="33" t="n">
        <v>2</v>
      </c>
      <c r="K45" s="33" t="n">
        <v>3</v>
      </c>
      <c r="L45" s="36" t="s">
        <v>81</v>
      </c>
      <c r="M45" s="35" t="s">
        <v>153</v>
      </c>
      <c r="N45" s="15" t="s">
        <v>154</v>
      </c>
      <c r="O45" s="15" t="s">
        <v>301</v>
      </c>
    </row>
    <row r="46" customFormat="false" ht="15" hidden="false" customHeight="false" outlineLevel="0" collapsed="false">
      <c r="A46" s="33" t="n">
        <v>45</v>
      </c>
      <c r="B46" s="34" t="s">
        <v>302</v>
      </c>
      <c r="C46" s="34" t="s">
        <v>303</v>
      </c>
      <c r="D46" s="15" t="s">
        <v>99</v>
      </c>
      <c r="E46" s="15" t="s">
        <v>304</v>
      </c>
      <c r="F46" s="33" t="s">
        <v>81</v>
      </c>
      <c r="G46" s="33" t="s">
        <v>151</v>
      </c>
      <c r="H46" s="33" t="s">
        <v>152</v>
      </c>
      <c r="I46" s="33" t="n">
        <v>13</v>
      </c>
      <c r="J46" s="33" t="n">
        <v>2</v>
      </c>
      <c r="K46" s="33" t="n">
        <v>3</v>
      </c>
      <c r="L46" s="36" t="s">
        <v>81</v>
      </c>
      <c r="M46" s="35" t="s">
        <v>153</v>
      </c>
      <c r="N46" s="15" t="s">
        <v>154</v>
      </c>
      <c r="O46" s="15" t="s">
        <v>305</v>
      </c>
    </row>
    <row r="47" customFormat="false" ht="15" hidden="false" customHeight="false" outlineLevel="0" collapsed="false">
      <c r="A47" s="33" t="n">
        <v>46</v>
      </c>
      <c r="B47" s="34" t="s">
        <v>306</v>
      </c>
      <c r="C47" s="34" t="s">
        <v>307</v>
      </c>
      <c r="D47" s="15" t="s">
        <v>96</v>
      </c>
      <c r="E47" s="15" t="s">
        <v>308</v>
      </c>
      <c r="F47" s="33" t="s">
        <v>159</v>
      </c>
      <c r="G47" s="33" t="s">
        <v>151</v>
      </c>
      <c r="H47" s="33" t="s">
        <v>152</v>
      </c>
      <c r="I47" s="33" t="n">
        <v>9</v>
      </c>
      <c r="J47" s="33" t="n">
        <v>1</v>
      </c>
      <c r="K47" s="33" t="n">
        <v>1</v>
      </c>
      <c r="L47" s="35" t="s">
        <v>80</v>
      </c>
      <c r="M47" s="35" t="s">
        <v>153</v>
      </c>
      <c r="N47" s="15" t="s">
        <v>154</v>
      </c>
      <c r="O47" s="15" t="s">
        <v>309</v>
      </c>
    </row>
    <row r="48" customFormat="false" ht="15" hidden="false" customHeight="false" outlineLevel="0" collapsed="false">
      <c r="A48" s="33" t="n">
        <v>47</v>
      </c>
      <c r="B48" s="34" t="s">
        <v>310</v>
      </c>
      <c r="C48" s="34" t="s">
        <v>311</v>
      </c>
      <c r="D48" s="15" t="s">
        <v>98</v>
      </c>
      <c r="E48" s="15" t="s">
        <v>312</v>
      </c>
      <c r="F48" s="33" t="s">
        <v>81</v>
      </c>
      <c r="G48" s="33" t="s">
        <v>151</v>
      </c>
      <c r="H48" s="33" t="s">
        <v>152</v>
      </c>
      <c r="I48" s="33" t="n">
        <v>10</v>
      </c>
      <c r="J48" s="33" t="n">
        <v>1</v>
      </c>
      <c r="K48" s="33" t="n">
        <v>0</v>
      </c>
      <c r="L48" s="35" t="s">
        <v>80</v>
      </c>
      <c r="M48" s="35" t="s">
        <v>153</v>
      </c>
      <c r="N48" s="15" t="s">
        <v>154</v>
      </c>
      <c r="O48" s="15" t="s">
        <v>189</v>
      </c>
    </row>
    <row r="49" customFormat="false" ht="15" hidden="false" customHeight="false" outlineLevel="0" collapsed="false">
      <c r="A49" s="33" t="n">
        <v>48</v>
      </c>
      <c r="B49" s="34" t="s">
        <v>313</v>
      </c>
      <c r="C49" s="34" t="s">
        <v>311</v>
      </c>
      <c r="D49" s="15" t="s">
        <v>98</v>
      </c>
      <c r="E49" s="15" t="s">
        <v>312</v>
      </c>
      <c r="F49" s="33" t="s">
        <v>81</v>
      </c>
      <c r="G49" s="33" t="s">
        <v>151</v>
      </c>
      <c r="H49" s="33" t="s">
        <v>166</v>
      </c>
      <c r="I49" s="33" t="n">
        <v>9</v>
      </c>
      <c r="J49" s="33" t="n">
        <v>1</v>
      </c>
      <c r="K49" s="33" t="n">
        <v>0</v>
      </c>
      <c r="L49" s="35" t="s">
        <v>80</v>
      </c>
      <c r="M49" s="35" t="s">
        <v>153</v>
      </c>
      <c r="N49" s="15" t="s">
        <v>154</v>
      </c>
      <c r="O49" s="15" t="s">
        <v>225</v>
      </c>
    </row>
    <row r="50" customFormat="false" ht="15" hidden="false" customHeight="false" outlineLevel="0" collapsed="false">
      <c r="A50" s="33" t="n">
        <v>49</v>
      </c>
      <c r="B50" s="34" t="s">
        <v>314</v>
      </c>
      <c r="C50" s="34" t="s">
        <v>315</v>
      </c>
      <c r="D50" s="15" t="s">
        <v>99</v>
      </c>
      <c r="E50" s="15" t="s">
        <v>316</v>
      </c>
      <c r="F50" s="33" t="s">
        <v>81</v>
      </c>
      <c r="G50" s="33" t="s">
        <v>151</v>
      </c>
      <c r="H50" s="33" t="s">
        <v>152</v>
      </c>
      <c r="I50" s="33" t="n">
        <v>12</v>
      </c>
      <c r="J50" s="33" t="n">
        <v>2</v>
      </c>
      <c r="K50" s="33" t="n">
        <v>5</v>
      </c>
      <c r="L50" s="37" t="s">
        <v>82</v>
      </c>
      <c r="M50" s="35" t="s">
        <v>153</v>
      </c>
      <c r="N50" s="15" t="s">
        <v>154</v>
      </c>
      <c r="O50" s="15" t="s">
        <v>317</v>
      </c>
    </row>
    <row r="51" customFormat="false" ht="15" hidden="false" customHeight="false" outlineLevel="0" collapsed="false">
      <c r="A51" s="33" t="n">
        <v>50</v>
      </c>
      <c r="B51" s="34" t="s">
        <v>318</v>
      </c>
      <c r="C51" s="34" t="s">
        <v>319</v>
      </c>
      <c r="D51" s="15" t="s">
        <v>96</v>
      </c>
      <c r="E51" s="15" t="s">
        <v>320</v>
      </c>
      <c r="F51" s="33" t="s">
        <v>81</v>
      </c>
      <c r="G51" s="33" t="s">
        <v>151</v>
      </c>
      <c r="H51" s="33" t="s">
        <v>152</v>
      </c>
      <c r="I51" s="33" t="n">
        <v>12</v>
      </c>
      <c r="J51" s="33" t="n">
        <v>2</v>
      </c>
      <c r="K51" s="33" t="n">
        <v>4</v>
      </c>
      <c r="L51" s="36" t="s">
        <v>81</v>
      </c>
      <c r="M51" s="35" t="s">
        <v>153</v>
      </c>
      <c r="N51" s="15" t="s">
        <v>154</v>
      </c>
      <c r="O51" s="15" t="s">
        <v>321</v>
      </c>
    </row>
    <row r="52" customFormat="false" ht="15" hidden="false" customHeight="false" outlineLevel="0" collapsed="false">
      <c r="A52" s="33" t="n">
        <v>51</v>
      </c>
      <c r="B52" s="34" t="s">
        <v>322</v>
      </c>
      <c r="C52" s="34" t="s">
        <v>323</v>
      </c>
      <c r="D52" s="15" t="s">
        <v>93</v>
      </c>
      <c r="E52" s="15" t="s">
        <v>324</v>
      </c>
      <c r="F52" s="33" t="s">
        <v>175</v>
      </c>
      <c r="G52" s="33" t="s">
        <v>151</v>
      </c>
      <c r="H52" s="33" t="s">
        <v>152</v>
      </c>
      <c r="I52" s="33" t="n">
        <v>12</v>
      </c>
      <c r="J52" s="33" t="n">
        <v>2</v>
      </c>
      <c r="K52" s="33" t="n">
        <v>4</v>
      </c>
      <c r="L52" s="36" t="s">
        <v>81</v>
      </c>
      <c r="M52" s="35" t="s">
        <v>153</v>
      </c>
      <c r="N52" s="15" t="s">
        <v>154</v>
      </c>
      <c r="O52" s="15" t="s">
        <v>325</v>
      </c>
    </row>
    <row r="53" customFormat="false" ht="15" hidden="false" customHeight="false" outlineLevel="0" collapsed="false">
      <c r="A53" s="33" t="n">
        <v>52</v>
      </c>
      <c r="B53" s="34" t="s">
        <v>326</v>
      </c>
      <c r="C53" s="34" t="s">
        <v>327</v>
      </c>
      <c r="D53" s="15" t="s">
        <v>93</v>
      </c>
      <c r="E53" s="15" t="s">
        <v>328</v>
      </c>
      <c r="F53" s="33" t="s">
        <v>329</v>
      </c>
      <c r="G53" s="33" t="s">
        <v>151</v>
      </c>
      <c r="H53" s="33" t="s">
        <v>152</v>
      </c>
      <c r="I53" s="33" t="n">
        <v>10</v>
      </c>
      <c r="J53" s="33" t="n">
        <v>2</v>
      </c>
      <c r="K53" s="33" t="n">
        <v>3</v>
      </c>
      <c r="L53" s="36" t="s">
        <v>81</v>
      </c>
      <c r="M53" s="35" t="s">
        <v>153</v>
      </c>
      <c r="N53" s="15" t="s">
        <v>154</v>
      </c>
      <c r="O53" s="15" t="s">
        <v>330</v>
      </c>
    </row>
    <row r="54" customFormat="false" ht="15" hidden="false" customHeight="false" outlineLevel="0" collapsed="false">
      <c r="A54" s="33" t="n">
        <v>53</v>
      </c>
      <c r="B54" s="34" t="s">
        <v>331</v>
      </c>
      <c r="C54" s="34" t="s">
        <v>332</v>
      </c>
      <c r="D54" s="15" t="s">
        <v>93</v>
      </c>
      <c r="E54" s="15" t="s">
        <v>333</v>
      </c>
      <c r="F54" s="33" t="s">
        <v>81</v>
      </c>
      <c r="G54" s="33" t="s">
        <v>151</v>
      </c>
      <c r="H54" s="33" t="s">
        <v>152</v>
      </c>
      <c r="I54" s="33" t="n">
        <v>12</v>
      </c>
      <c r="J54" s="33" t="n">
        <v>1</v>
      </c>
      <c r="K54" s="33" t="n">
        <v>2</v>
      </c>
      <c r="L54" s="36" t="s">
        <v>81</v>
      </c>
      <c r="M54" s="35" t="s">
        <v>153</v>
      </c>
      <c r="N54" s="15" t="s">
        <v>154</v>
      </c>
      <c r="O54" s="15" t="s">
        <v>334</v>
      </c>
    </row>
    <row r="55" customFormat="false" ht="15" hidden="false" customHeight="false" outlineLevel="0" collapsed="false">
      <c r="A55" s="33" t="n">
        <v>54</v>
      </c>
      <c r="B55" s="34" t="s">
        <v>335</v>
      </c>
      <c r="C55" s="34" t="s">
        <v>336</v>
      </c>
      <c r="D55" s="15" t="s">
        <v>93</v>
      </c>
      <c r="E55" s="15" t="s">
        <v>337</v>
      </c>
      <c r="F55" s="33" t="s">
        <v>81</v>
      </c>
      <c r="G55" s="33" t="s">
        <v>151</v>
      </c>
      <c r="H55" s="33" t="s">
        <v>152</v>
      </c>
      <c r="I55" s="33" t="n">
        <v>12</v>
      </c>
      <c r="J55" s="33" t="n">
        <v>1</v>
      </c>
      <c r="K55" s="33" t="n">
        <v>2</v>
      </c>
      <c r="L55" s="36" t="s">
        <v>81</v>
      </c>
      <c r="M55" s="35" t="s">
        <v>153</v>
      </c>
      <c r="N55" s="15" t="s">
        <v>154</v>
      </c>
      <c r="O55" s="15" t="s">
        <v>334</v>
      </c>
    </row>
    <row r="56" customFormat="false" ht="15" hidden="false" customHeight="false" outlineLevel="0" collapsed="false">
      <c r="A56" s="33" t="n">
        <v>55</v>
      </c>
      <c r="B56" s="34" t="s">
        <v>338</v>
      </c>
      <c r="C56" s="34" t="s">
        <v>339</v>
      </c>
      <c r="D56" s="15" t="s">
        <v>93</v>
      </c>
      <c r="E56" s="15" t="s">
        <v>279</v>
      </c>
      <c r="F56" s="33" t="s">
        <v>81</v>
      </c>
      <c r="G56" s="33" t="s">
        <v>151</v>
      </c>
      <c r="H56" s="33" t="s">
        <v>152</v>
      </c>
      <c r="I56" s="33" t="n">
        <v>12</v>
      </c>
      <c r="J56" s="33" t="n">
        <v>1</v>
      </c>
      <c r="K56" s="33" t="n">
        <v>2</v>
      </c>
      <c r="L56" s="36" t="s">
        <v>81</v>
      </c>
      <c r="M56" s="35" t="s">
        <v>153</v>
      </c>
      <c r="N56" s="15" t="s">
        <v>154</v>
      </c>
      <c r="O56" s="15" t="s">
        <v>334</v>
      </c>
    </row>
    <row r="57" customFormat="false" ht="15" hidden="false" customHeight="false" outlineLevel="0" collapsed="false">
      <c r="A57" s="33" t="n">
        <v>56</v>
      </c>
      <c r="B57" s="34" t="s">
        <v>340</v>
      </c>
      <c r="C57" s="34" t="s">
        <v>341</v>
      </c>
      <c r="D57" s="15" t="s">
        <v>92</v>
      </c>
      <c r="E57" s="15" t="s">
        <v>342</v>
      </c>
      <c r="F57" s="33" t="s">
        <v>159</v>
      </c>
      <c r="G57" s="33" t="s">
        <v>151</v>
      </c>
      <c r="H57" s="33" t="s">
        <v>152</v>
      </c>
      <c r="I57" s="33" t="n">
        <v>11</v>
      </c>
      <c r="J57" s="33" t="n">
        <v>2</v>
      </c>
      <c r="K57" s="33" t="n">
        <v>3</v>
      </c>
      <c r="L57" s="36" t="s">
        <v>81</v>
      </c>
      <c r="M57" s="35" t="s">
        <v>153</v>
      </c>
      <c r="N57" s="15" t="s">
        <v>154</v>
      </c>
      <c r="O57" s="15" t="s">
        <v>343</v>
      </c>
    </row>
    <row r="58" customFormat="false" ht="15" hidden="false" customHeight="false" outlineLevel="0" collapsed="false">
      <c r="A58" s="33" t="n">
        <v>57</v>
      </c>
      <c r="B58" s="34" t="s">
        <v>344</v>
      </c>
      <c r="C58" s="34" t="s">
        <v>345</v>
      </c>
      <c r="D58" s="15" t="s">
        <v>99</v>
      </c>
      <c r="E58" s="15" t="s">
        <v>346</v>
      </c>
      <c r="F58" s="33" t="s">
        <v>159</v>
      </c>
      <c r="G58" s="33" t="s">
        <v>151</v>
      </c>
      <c r="H58" s="33" t="s">
        <v>152</v>
      </c>
      <c r="I58" s="33" t="n">
        <v>13</v>
      </c>
      <c r="J58" s="33" t="n">
        <v>1</v>
      </c>
      <c r="K58" s="33" t="n">
        <v>2</v>
      </c>
      <c r="L58" s="36" t="s">
        <v>81</v>
      </c>
      <c r="M58" s="35" t="s">
        <v>153</v>
      </c>
      <c r="N58" s="15" t="s">
        <v>154</v>
      </c>
      <c r="O58" s="15" t="s">
        <v>347</v>
      </c>
    </row>
    <row r="59" customFormat="false" ht="15" hidden="false" customHeight="false" outlineLevel="0" collapsed="false">
      <c r="A59" s="33" t="n">
        <v>58</v>
      </c>
      <c r="B59" s="34" t="s">
        <v>348</v>
      </c>
      <c r="C59" s="34" t="s">
        <v>349</v>
      </c>
      <c r="D59" s="15" t="s">
        <v>93</v>
      </c>
      <c r="E59" s="15" t="s">
        <v>350</v>
      </c>
      <c r="F59" s="33" t="s">
        <v>81</v>
      </c>
      <c r="G59" s="33" t="s">
        <v>151</v>
      </c>
      <c r="H59" s="33" t="s">
        <v>152</v>
      </c>
      <c r="I59" s="33" t="n">
        <v>12</v>
      </c>
      <c r="J59" s="33" t="n">
        <v>1</v>
      </c>
      <c r="K59" s="33" t="n">
        <v>2</v>
      </c>
      <c r="L59" s="36" t="s">
        <v>81</v>
      </c>
      <c r="M59" s="35" t="s">
        <v>153</v>
      </c>
      <c r="N59" s="15" t="s">
        <v>154</v>
      </c>
      <c r="O59" s="15" t="s">
        <v>334</v>
      </c>
    </row>
    <row r="60" customFormat="false" ht="15" hidden="false" customHeight="false" outlineLevel="0" collapsed="false">
      <c r="A60" s="33" t="n">
        <v>59</v>
      </c>
      <c r="B60" s="34" t="s">
        <v>351</v>
      </c>
      <c r="C60" s="34" t="s">
        <v>352</v>
      </c>
      <c r="D60" s="15" t="s">
        <v>93</v>
      </c>
      <c r="E60" s="15" t="s">
        <v>353</v>
      </c>
      <c r="F60" s="33" t="s">
        <v>329</v>
      </c>
      <c r="G60" s="33" t="s">
        <v>151</v>
      </c>
      <c r="H60" s="33" t="s">
        <v>152</v>
      </c>
      <c r="I60" s="33" t="n">
        <v>12</v>
      </c>
      <c r="J60" s="33" t="n">
        <v>2</v>
      </c>
      <c r="K60" s="33" t="n">
        <v>4</v>
      </c>
      <c r="L60" s="36" t="s">
        <v>81</v>
      </c>
      <c r="M60" s="35" t="s">
        <v>153</v>
      </c>
      <c r="N60" s="15" t="s">
        <v>154</v>
      </c>
      <c r="O60" s="15" t="s">
        <v>354</v>
      </c>
    </row>
    <row r="61" customFormat="false" ht="15" hidden="false" customHeight="false" outlineLevel="0" collapsed="false">
      <c r="A61" s="33" t="n">
        <v>60</v>
      </c>
      <c r="B61" s="34" t="s">
        <v>355</v>
      </c>
      <c r="C61" s="34" t="s">
        <v>356</v>
      </c>
      <c r="D61" s="15" t="s">
        <v>93</v>
      </c>
      <c r="E61" s="15" t="s">
        <v>357</v>
      </c>
      <c r="F61" s="33" t="s">
        <v>175</v>
      </c>
      <c r="G61" s="33" t="s">
        <v>151</v>
      </c>
      <c r="H61" s="33" t="s">
        <v>152</v>
      </c>
      <c r="I61" s="33" t="n">
        <v>12</v>
      </c>
      <c r="J61" s="33" t="n">
        <v>1</v>
      </c>
      <c r="K61" s="33" t="n">
        <v>5</v>
      </c>
      <c r="L61" s="37" t="s">
        <v>82</v>
      </c>
      <c r="M61" s="35" t="s">
        <v>153</v>
      </c>
      <c r="N61" s="15" t="s">
        <v>232</v>
      </c>
      <c r="O61" s="15" t="s">
        <v>358</v>
      </c>
    </row>
    <row r="62" customFormat="false" ht="15" hidden="false" customHeight="false" outlineLevel="0" collapsed="false">
      <c r="A62" s="33" t="n">
        <v>61</v>
      </c>
      <c r="B62" s="34" t="s">
        <v>359</v>
      </c>
      <c r="C62" s="34" t="s">
        <v>360</v>
      </c>
      <c r="D62" s="15" t="s">
        <v>93</v>
      </c>
      <c r="E62" s="15" t="s">
        <v>361</v>
      </c>
      <c r="F62" s="33" t="s">
        <v>81</v>
      </c>
      <c r="G62" s="33" t="s">
        <v>182</v>
      </c>
      <c r="H62" s="33" t="s">
        <v>152</v>
      </c>
      <c r="I62" s="33" t="n">
        <v>12</v>
      </c>
      <c r="J62" s="33" t="n">
        <v>1</v>
      </c>
      <c r="K62" s="33" t="n">
        <v>2</v>
      </c>
      <c r="L62" s="36" t="s">
        <v>81</v>
      </c>
      <c r="M62" s="35" t="s">
        <v>153</v>
      </c>
      <c r="N62" s="15" t="s">
        <v>154</v>
      </c>
      <c r="O62" s="15" t="s">
        <v>334</v>
      </c>
    </row>
    <row r="63" customFormat="false" ht="15" hidden="false" customHeight="false" outlineLevel="0" collapsed="false">
      <c r="A63" s="33" t="n">
        <v>62</v>
      </c>
      <c r="B63" s="34" t="s">
        <v>362</v>
      </c>
      <c r="C63" s="34" t="s">
        <v>363</v>
      </c>
      <c r="D63" s="15" t="s">
        <v>93</v>
      </c>
      <c r="E63" s="15" t="s">
        <v>364</v>
      </c>
      <c r="F63" s="33" t="s">
        <v>175</v>
      </c>
      <c r="G63" s="33" t="s">
        <v>151</v>
      </c>
      <c r="H63" s="33" t="s">
        <v>152</v>
      </c>
      <c r="I63" s="33" t="n">
        <v>12</v>
      </c>
      <c r="J63" s="33" t="n">
        <v>1</v>
      </c>
      <c r="K63" s="33" t="n">
        <v>2</v>
      </c>
      <c r="L63" s="36" t="s">
        <v>81</v>
      </c>
      <c r="M63" s="35" t="s">
        <v>153</v>
      </c>
      <c r="N63" s="15" t="s">
        <v>154</v>
      </c>
      <c r="O63" s="15" t="s">
        <v>334</v>
      </c>
    </row>
    <row r="64" customFormat="false" ht="15" hidden="false" customHeight="false" outlineLevel="0" collapsed="false">
      <c r="A64" s="33" t="n">
        <v>63</v>
      </c>
      <c r="B64" s="34" t="s">
        <v>365</v>
      </c>
      <c r="C64" s="34" t="s">
        <v>366</v>
      </c>
      <c r="D64" s="15" t="s">
        <v>93</v>
      </c>
      <c r="E64" s="15" t="s">
        <v>367</v>
      </c>
      <c r="F64" s="33" t="s">
        <v>175</v>
      </c>
      <c r="G64" s="33" t="s">
        <v>151</v>
      </c>
      <c r="H64" s="33" t="s">
        <v>152</v>
      </c>
      <c r="I64" s="33" t="n">
        <v>12</v>
      </c>
      <c r="J64" s="33" t="n">
        <v>1</v>
      </c>
      <c r="K64" s="33" t="n">
        <v>2</v>
      </c>
      <c r="L64" s="36" t="s">
        <v>81</v>
      </c>
      <c r="M64" s="35" t="s">
        <v>153</v>
      </c>
      <c r="N64" s="15" t="s">
        <v>154</v>
      </c>
      <c r="O64" s="15" t="s">
        <v>334</v>
      </c>
    </row>
    <row r="65" customFormat="false" ht="15" hidden="false" customHeight="false" outlineLevel="0" collapsed="false">
      <c r="A65" s="33" t="n">
        <v>64</v>
      </c>
      <c r="B65" s="34" t="s">
        <v>368</v>
      </c>
      <c r="C65" s="34" t="s">
        <v>366</v>
      </c>
      <c r="D65" s="15" t="s">
        <v>93</v>
      </c>
      <c r="E65" s="15" t="s">
        <v>367</v>
      </c>
      <c r="F65" s="33" t="s">
        <v>175</v>
      </c>
      <c r="G65" s="33" t="s">
        <v>151</v>
      </c>
      <c r="H65" s="33" t="s">
        <v>166</v>
      </c>
      <c r="I65" s="33" t="n">
        <v>10</v>
      </c>
      <c r="J65" s="33" t="n">
        <v>1</v>
      </c>
      <c r="K65" s="33" t="n">
        <v>1</v>
      </c>
      <c r="L65" s="35" t="s">
        <v>80</v>
      </c>
      <c r="M65" s="35" t="s">
        <v>153</v>
      </c>
      <c r="N65" s="15" t="s">
        <v>154</v>
      </c>
      <c r="O65" s="15" t="s">
        <v>369</v>
      </c>
    </row>
    <row r="66" customFormat="false" ht="15" hidden="false" customHeight="false" outlineLevel="0" collapsed="false">
      <c r="A66" s="33" t="n">
        <v>65</v>
      </c>
      <c r="B66" s="34" t="s">
        <v>370</v>
      </c>
      <c r="C66" s="34" t="s">
        <v>371</v>
      </c>
      <c r="D66" s="15" t="s">
        <v>98</v>
      </c>
      <c r="E66" s="15" t="s">
        <v>372</v>
      </c>
      <c r="F66" s="33" t="s">
        <v>81</v>
      </c>
      <c r="G66" s="33" t="s">
        <v>290</v>
      </c>
      <c r="H66" s="33" t="s">
        <v>152</v>
      </c>
      <c r="I66" s="33" t="n">
        <v>6</v>
      </c>
      <c r="J66" s="33" t="n">
        <v>1</v>
      </c>
      <c r="K66" s="33" t="n">
        <v>3</v>
      </c>
      <c r="L66" s="36" t="s">
        <v>81</v>
      </c>
      <c r="M66" s="35" t="s">
        <v>153</v>
      </c>
      <c r="N66" s="15" t="s">
        <v>232</v>
      </c>
      <c r="O66" s="15" t="s">
        <v>373</v>
      </c>
    </row>
    <row r="67" customFormat="false" ht="15" hidden="false" customHeight="false" outlineLevel="0" collapsed="false">
      <c r="A67" s="33" t="n">
        <v>66</v>
      </c>
      <c r="B67" s="34" t="s">
        <v>374</v>
      </c>
      <c r="C67" s="34" t="s">
        <v>375</v>
      </c>
      <c r="D67" s="15" t="s">
        <v>92</v>
      </c>
      <c r="E67" s="15" t="s">
        <v>376</v>
      </c>
      <c r="F67" s="33" t="s">
        <v>81</v>
      </c>
      <c r="G67" s="33" t="s">
        <v>151</v>
      </c>
      <c r="H67" s="33" t="s">
        <v>152</v>
      </c>
      <c r="I67" s="33" t="n">
        <v>11</v>
      </c>
      <c r="J67" s="33" t="n">
        <v>1</v>
      </c>
      <c r="K67" s="33" t="n">
        <v>1</v>
      </c>
      <c r="L67" s="35" t="s">
        <v>80</v>
      </c>
      <c r="M67" s="35" t="s">
        <v>153</v>
      </c>
      <c r="N67" s="15" t="s">
        <v>154</v>
      </c>
      <c r="O67" s="15" t="s">
        <v>377</v>
      </c>
    </row>
    <row r="68" customFormat="false" ht="15" hidden="false" customHeight="false" outlineLevel="0" collapsed="false">
      <c r="A68" s="33" t="n">
        <v>67</v>
      </c>
      <c r="B68" s="34" t="s">
        <v>378</v>
      </c>
      <c r="C68" s="34" t="s">
        <v>379</v>
      </c>
      <c r="D68" s="15" t="s">
        <v>93</v>
      </c>
      <c r="E68" s="15" t="s">
        <v>380</v>
      </c>
      <c r="F68" s="33" t="s">
        <v>81</v>
      </c>
      <c r="G68" s="33" t="s">
        <v>151</v>
      </c>
      <c r="H68" s="33" t="s">
        <v>152</v>
      </c>
      <c r="I68" s="33" t="n">
        <v>11</v>
      </c>
      <c r="J68" s="33" t="n">
        <v>2</v>
      </c>
      <c r="K68" s="33" t="n">
        <v>3</v>
      </c>
      <c r="L68" s="36" t="s">
        <v>81</v>
      </c>
      <c r="M68" s="35" t="s">
        <v>153</v>
      </c>
      <c r="N68" s="15" t="s">
        <v>154</v>
      </c>
      <c r="O68" s="15" t="s">
        <v>381</v>
      </c>
    </row>
    <row r="69" customFormat="false" ht="15" hidden="false" customHeight="false" outlineLevel="0" collapsed="false">
      <c r="A69" s="33" t="n">
        <v>68</v>
      </c>
      <c r="B69" s="34" t="s">
        <v>382</v>
      </c>
      <c r="C69" s="34" t="s">
        <v>383</v>
      </c>
      <c r="D69" s="15" t="s">
        <v>93</v>
      </c>
      <c r="E69" s="15" t="s">
        <v>353</v>
      </c>
      <c r="F69" s="33" t="s">
        <v>329</v>
      </c>
      <c r="G69" s="33" t="s">
        <v>151</v>
      </c>
      <c r="H69" s="33" t="s">
        <v>152</v>
      </c>
      <c r="I69" s="33" t="n">
        <v>12</v>
      </c>
      <c r="J69" s="33" t="n">
        <v>2</v>
      </c>
      <c r="K69" s="33" t="n">
        <v>4</v>
      </c>
      <c r="L69" s="36" t="s">
        <v>81</v>
      </c>
      <c r="M69" s="35" t="s">
        <v>153</v>
      </c>
      <c r="N69" s="15" t="s">
        <v>154</v>
      </c>
      <c r="O69" s="15" t="s">
        <v>354</v>
      </c>
    </row>
    <row r="70" customFormat="false" ht="15" hidden="false" customHeight="false" outlineLevel="0" collapsed="false">
      <c r="A70" s="33" t="n">
        <v>69</v>
      </c>
      <c r="B70" s="34" t="s">
        <v>384</v>
      </c>
      <c r="C70" s="34" t="s">
        <v>385</v>
      </c>
      <c r="D70" s="15" t="s">
        <v>93</v>
      </c>
      <c r="E70" s="15" t="s">
        <v>386</v>
      </c>
      <c r="F70" s="33" t="s">
        <v>81</v>
      </c>
      <c r="G70" s="33" t="s">
        <v>151</v>
      </c>
      <c r="H70" s="33" t="s">
        <v>152</v>
      </c>
      <c r="I70" s="33" t="n">
        <v>11</v>
      </c>
      <c r="J70" s="33" t="n">
        <v>2</v>
      </c>
      <c r="K70" s="33" t="n">
        <v>4</v>
      </c>
      <c r="L70" s="36" t="s">
        <v>81</v>
      </c>
      <c r="M70" s="35" t="s">
        <v>153</v>
      </c>
      <c r="N70" s="15" t="s">
        <v>154</v>
      </c>
      <c r="O70" s="15" t="s">
        <v>387</v>
      </c>
    </row>
    <row r="71" customFormat="false" ht="15" hidden="false" customHeight="false" outlineLevel="0" collapsed="false">
      <c r="A71" s="33" t="n">
        <v>70</v>
      </c>
      <c r="B71" s="34" t="s">
        <v>388</v>
      </c>
      <c r="C71" s="34" t="s">
        <v>389</v>
      </c>
      <c r="D71" s="15" t="s">
        <v>92</v>
      </c>
      <c r="E71" s="15" t="s">
        <v>390</v>
      </c>
      <c r="F71" s="33" t="s">
        <v>81</v>
      </c>
      <c r="G71" s="33" t="s">
        <v>151</v>
      </c>
      <c r="H71" s="33" t="s">
        <v>152</v>
      </c>
      <c r="I71" s="33" t="n">
        <v>11</v>
      </c>
      <c r="J71" s="33" t="n">
        <v>1</v>
      </c>
      <c r="K71" s="33" t="n">
        <v>1</v>
      </c>
      <c r="L71" s="35" t="s">
        <v>80</v>
      </c>
      <c r="M71" s="35" t="s">
        <v>153</v>
      </c>
      <c r="N71" s="15" t="s">
        <v>154</v>
      </c>
      <c r="O71" s="15" t="s">
        <v>391</v>
      </c>
    </row>
    <row r="72" customFormat="false" ht="15" hidden="false" customHeight="false" outlineLevel="0" collapsed="false">
      <c r="A72" s="33" t="n">
        <v>71</v>
      </c>
      <c r="B72" s="34" t="s">
        <v>392</v>
      </c>
      <c r="C72" s="34" t="s">
        <v>389</v>
      </c>
      <c r="D72" s="15" t="s">
        <v>92</v>
      </c>
      <c r="E72" s="15" t="s">
        <v>390</v>
      </c>
      <c r="F72" s="33" t="s">
        <v>81</v>
      </c>
      <c r="G72" s="33" t="s">
        <v>151</v>
      </c>
      <c r="H72" s="33" t="s">
        <v>166</v>
      </c>
      <c r="I72" s="33" t="n">
        <v>11</v>
      </c>
      <c r="J72" s="33" t="n">
        <v>1</v>
      </c>
      <c r="K72" s="33" t="n">
        <v>1</v>
      </c>
      <c r="L72" s="35" t="s">
        <v>80</v>
      </c>
      <c r="M72" s="35" t="s">
        <v>153</v>
      </c>
      <c r="N72" s="15" t="s">
        <v>154</v>
      </c>
      <c r="O72" s="15" t="s">
        <v>391</v>
      </c>
    </row>
    <row r="73" customFormat="false" ht="15" hidden="false" customHeight="false" outlineLevel="0" collapsed="false">
      <c r="A73" s="33" t="n">
        <v>72</v>
      </c>
      <c r="B73" s="34" t="s">
        <v>393</v>
      </c>
      <c r="C73" s="34" t="s">
        <v>394</v>
      </c>
      <c r="D73" s="15" t="s">
        <v>92</v>
      </c>
      <c r="E73" s="15" t="s">
        <v>395</v>
      </c>
      <c r="F73" s="33" t="s">
        <v>81</v>
      </c>
      <c r="G73" s="33" t="s">
        <v>151</v>
      </c>
      <c r="H73" s="33" t="s">
        <v>152</v>
      </c>
      <c r="I73" s="33" t="n">
        <v>10</v>
      </c>
      <c r="J73" s="33" t="n">
        <v>2</v>
      </c>
      <c r="K73" s="33" t="n">
        <v>3</v>
      </c>
      <c r="L73" s="36" t="s">
        <v>81</v>
      </c>
      <c r="M73" s="35" t="s">
        <v>153</v>
      </c>
      <c r="N73" s="15" t="s">
        <v>154</v>
      </c>
      <c r="O73" s="15" t="s">
        <v>396</v>
      </c>
    </row>
    <row r="74" customFormat="false" ht="15" hidden="false" customHeight="false" outlineLevel="0" collapsed="false">
      <c r="A74" s="33" t="n">
        <v>73</v>
      </c>
      <c r="B74" s="34" t="s">
        <v>397</v>
      </c>
      <c r="C74" s="34" t="s">
        <v>398</v>
      </c>
      <c r="D74" s="15" t="s">
        <v>96</v>
      </c>
      <c r="E74" s="15" t="s">
        <v>399</v>
      </c>
      <c r="F74" s="33" t="s">
        <v>175</v>
      </c>
      <c r="G74" s="33" t="s">
        <v>151</v>
      </c>
      <c r="H74" s="33" t="s">
        <v>152</v>
      </c>
      <c r="I74" s="33" t="n">
        <v>13</v>
      </c>
      <c r="J74" s="33" t="n">
        <v>2</v>
      </c>
      <c r="K74" s="33" t="n">
        <v>5</v>
      </c>
      <c r="L74" s="37" t="s">
        <v>82</v>
      </c>
      <c r="M74" s="35" t="s">
        <v>153</v>
      </c>
      <c r="N74" s="15" t="s">
        <v>154</v>
      </c>
      <c r="O74" s="15" t="s">
        <v>400</v>
      </c>
    </row>
    <row r="75" customFormat="false" ht="22.35" hidden="false" customHeight="false" outlineLevel="0" collapsed="false">
      <c r="A75" s="33" t="n">
        <v>74</v>
      </c>
      <c r="B75" s="34" t="s">
        <v>401</v>
      </c>
      <c r="C75" s="34" t="s">
        <v>402</v>
      </c>
      <c r="D75" s="15" t="s">
        <v>96</v>
      </c>
      <c r="E75" s="15" t="s">
        <v>403</v>
      </c>
      <c r="F75" s="33" t="s">
        <v>81</v>
      </c>
      <c r="G75" s="33" t="s">
        <v>151</v>
      </c>
      <c r="H75" s="33" t="s">
        <v>152</v>
      </c>
      <c r="I75" s="33" t="n">
        <v>8</v>
      </c>
      <c r="J75" s="33" t="n">
        <v>1</v>
      </c>
      <c r="K75" s="33" t="n">
        <v>2</v>
      </c>
      <c r="L75" s="36" t="s">
        <v>81</v>
      </c>
      <c r="M75" s="35" t="s">
        <v>153</v>
      </c>
      <c r="N75" s="15" t="s">
        <v>154</v>
      </c>
      <c r="O75" s="15" t="s">
        <v>404</v>
      </c>
    </row>
    <row r="76" customFormat="false" ht="15" hidden="false" customHeight="false" outlineLevel="0" collapsed="false">
      <c r="A76" s="33" t="n">
        <v>75</v>
      </c>
      <c r="B76" s="34" t="s">
        <v>405</v>
      </c>
      <c r="C76" s="34" t="s">
        <v>406</v>
      </c>
      <c r="D76" s="15" t="s">
        <v>93</v>
      </c>
      <c r="E76" s="15" t="s">
        <v>407</v>
      </c>
      <c r="F76" s="33" t="s">
        <v>159</v>
      </c>
      <c r="G76" s="33" t="s">
        <v>151</v>
      </c>
      <c r="H76" s="33" t="s">
        <v>152</v>
      </c>
      <c r="I76" s="33" t="n">
        <v>10</v>
      </c>
      <c r="J76" s="33" t="n">
        <v>2</v>
      </c>
      <c r="K76" s="33" t="n">
        <v>3</v>
      </c>
      <c r="L76" s="36" t="s">
        <v>81</v>
      </c>
      <c r="M76" s="35" t="s">
        <v>153</v>
      </c>
      <c r="N76" s="15" t="s">
        <v>154</v>
      </c>
      <c r="O76" s="15" t="s">
        <v>408</v>
      </c>
    </row>
    <row r="77" customFormat="false" ht="22.35" hidden="false" customHeight="false" outlineLevel="0" collapsed="false">
      <c r="A77" s="33" t="n">
        <v>76</v>
      </c>
      <c r="B77" s="34" t="s">
        <v>409</v>
      </c>
      <c r="C77" s="34" t="s">
        <v>410</v>
      </c>
      <c r="D77" s="15" t="s">
        <v>94</v>
      </c>
      <c r="E77" s="15" t="s">
        <v>411</v>
      </c>
      <c r="F77" s="33" t="s">
        <v>81</v>
      </c>
      <c r="G77" s="33" t="s">
        <v>151</v>
      </c>
      <c r="H77" s="33" t="s">
        <v>152</v>
      </c>
      <c r="I77" s="33" t="n">
        <v>11</v>
      </c>
      <c r="J77" s="33" t="n">
        <v>3</v>
      </c>
      <c r="K77" s="33" t="n">
        <v>3</v>
      </c>
      <c r="L77" s="36" t="s">
        <v>81</v>
      </c>
      <c r="M77" s="35" t="s">
        <v>153</v>
      </c>
      <c r="N77" s="15" t="s">
        <v>154</v>
      </c>
      <c r="O77" s="15" t="s">
        <v>412</v>
      </c>
    </row>
    <row r="78" customFormat="false" ht="22.35" hidden="false" customHeight="false" outlineLevel="0" collapsed="false">
      <c r="A78" s="33" t="n">
        <v>77</v>
      </c>
      <c r="B78" s="34" t="s">
        <v>413</v>
      </c>
      <c r="C78" s="34" t="s">
        <v>410</v>
      </c>
      <c r="D78" s="15" t="s">
        <v>94</v>
      </c>
      <c r="E78" s="15" t="s">
        <v>411</v>
      </c>
      <c r="F78" s="33" t="s">
        <v>81</v>
      </c>
      <c r="G78" s="33" t="s">
        <v>151</v>
      </c>
      <c r="H78" s="33" t="s">
        <v>166</v>
      </c>
      <c r="I78" s="33" t="n">
        <v>10</v>
      </c>
      <c r="J78" s="33" t="n">
        <v>2</v>
      </c>
      <c r="K78" s="33" t="n">
        <v>2</v>
      </c>
      <c r="L78" s="36" t="s">
        <v>81</v>
      </c>
      <c r="M78" s="35" t="s">
        <v>153</v>
      </c>
      <c r="N78" s="15" t="s">
        <v>154</v>
      </c>
      <c r="O78" s="15" t="s">
        <v>414</v>
      </c>
    </row>
    <row r="79" customFormat="false" ht="22.35" hidden="false" customHeight="false" outlineLevel="0" collapsed="false">
      <c r="A79" s="33" t="n">
        <v>78</v>
      </c>
      <c r="B79" s="34" t="s">
        <v>415</v>
      </c>
      <c r="C79" s="34" t="s">
        <v>416</v>
      </c>
      <c r="D79" s="15" t="s">
        <v>96</v>
      </c>
      <c r="E79" s="15" t="s">
        <v>417</v>
      </c>
      <c r="F79" s="33" t="s">
        <v>81</v>
      </c>
      <c r="G79" s="33" t="s">
        <v>151</v>
      </c>
      <c r="H79" s="33" t="s">
        <v>152</v>
      </c>
      <c r="I79" s="33" t="n">
        <v>14</v>
      </c>
      <c r="J79" s="33" t="n">
        <v>2</v>
      </c>
      <c r="K79" s="33" t="n">
        <v>4</v>
      </c>
      <c r="L79" s="36" t="s">
        <v>81</v>
      </c>
      <c r="M79" s="35" t="s">
        <v>153</v>
      </c>
      <c r="N79" s="15" t="s">
        <v>154</v>
      </c>
      <c r="O79" s="15" t="s">
        <v>418</v>
      </c>
    </row>
    <row r="80" customFormat="false" ht="15" hidden="false" customHeight="false" outlineLevel="0" collapsed="false">
      <c r="A80" s="33" t="n">
        <v>79</v>
      </c>
      <c r="B80" s="34" t="s">
        <v>419</v>
      </c>
      <c r="C80" s="34" t="s">
        <v>420</v>
      </c>
      <c r="D80" s="15" t="s">
        <v>96</v>
      </c>
      <c r="E80" s="15" t="s">
        <v>421</v>
      </c>
      <c r="F80" s="33" t="s">
        <v>175</v>
      </c>
      <c r="G80" s="33" t="s">
        <v>151</v>
      </c>
      <c r="H80" s="33" t="s">
        <v>152</v>
      </c>
      <c r="I80" s="33" t="n">
        <v>12</v>
      </c>
      <c r="J80" s="33" t="n">
        <v>1</v>
      </c>
      <c r="K80" s="33" t="n">
        <v>3</v>
      </c>
      <c r="L80" s="36" t="s">
        <v>81</v>
      </c>
      <c r="M80" s="35" t="s">
        <v>153</v>
      </c>
      <c r="N80" s="15" t="s">
        <v>154</v>
      </c>
      <c r="O80" s="15" t="s">
        <v>422</v>
      </c>
    </row>
    <row r="81" customFormat="false" ht="15" hidden="false" customHeight="false" outlineLevel="0" collapsed="false">
      <c r="A81" s="33" t="n">
        <v>80</v>
      </c>
      <c r="B81" s="34" t="s">
        <v>423</v>
      </c>
      <c r="C81" s="34" t="s">
        <v>424</v>
      </c>
      <c r="D81" s="15" t="s">
        <v>96</v>
      </c>
      <c r="E81" s="15" t="s">
        <v>425</v>
      </c>
      <c r="F81" s="33" t="s">
        <v>81</v>
      </c>
      <c r="G81" s="33" t="s">
        <v>151</v>
      </c>
      <c r="H81" s="33" t="s">
        <v>152</v>
      </c>
      <c r="I81" s="33" t="n">
        <v>11</v>
      </c>
      <c r="J81" s="33" t="n">
        <v>2</v>
      </c>
      <c r="K81" s="33" t="n">
        <v>3</v>
      </c>
      <c r="L81" s="36" t="s">
        <v>81</v>
      </c>
      <c r="M81" s="35" t="s">
        <v>153</v>
      </c>
      <c r="N81" s="15" t="s">
        <v>154</v>
      </c>
      <c r="O81" s="15" t="s">
        <v>426</v>
      </c>
    </row>
    <row r="82" customFormat="false" ht="15" hidden="false" customHeight="false" outlineLevel="0" collapsed="false">
      <c r="A82" s="33" t="n">
        <v>81</v>
      </c>
      <c r="B82" s="34" t="s">
        <v>427</v>
      </c>
      <c r="C82" s="34" t="s">
        <v>428</v>
      </c>
      <c r="D82" s="15" t="s">
        <v>96</v>
      </c>
      <c r="E82" s="15" t="s">
        <v>429</v>
      </c>
      <c r="F82" s="33" t="s">
        <v>175</v>
      </c>
      <c r="G82" s="33" t="s">
        <v>151</v>
      </c>
      <c r="H82" s="33" t="s">
        <v>152</v>
      </c>
      <c r="I82" s="33" t="n">
        <v>9</v>
      </c>
      <c r="J82" s="33" t="n">
        <v>1</v>
      </c>
      <c r="K82" s="33" t="n">
        <v>2</v>
      </c>
      <c r="L82" s="36" t="s">
        <v>81</v>
      </c>
      <c r="M82" s="35" t="s">
        <v>153</v>
      </c>
      <c r="N82" s="15" t="s">
        <v>154</v>
      </c>
      <c r="O82" s="15" t="s">
        <v>430</v>
      </c>
    </row>
    <row r="83" customFormat="false" ht="15" hidden="false" customHeight="false" outlineLevel="0" collapsed="false">
      <c r="A83" s="33" t="n">
        <v>82</v>
      </c>
      <c r="B83" s="34" t="s">
        <v>431</v>
      </c>
      <c r="C83" s="34" t="s">
        <v>428</v>
      </c>
      <c r="D83" s="15" t="s">
        <v>96</v>
      </c>
      <c r="E83" s="15" t="s">
        <v>429</v>
      </c>
      <c r="F83" s="33" t="s">
        <v>175</v>
      </c>
      <c r="G83" s="33" t="s">
        <v>151</v>
      </c>
      <c r="H83" s="33" t="s">
        <v>166</v>
      </c>
      <c r="I83" s="33" t="n">
        <v>10</v>
      </c>
      <c r="J83" s="33" t="n">
        <v>1</v>
      </c>
      <c r="K83" s="33" t="n">
        <v>2</v>
      </c>
      <c r="L83" s="36" t="s">
        <v>81</v>
      </c>
      <c r="M83" s="35" t="s">
        <v>153</v>
      </c>
      <c r="N83" s="15" t="s">
        <v>154</v>
      </c>
      <c r="O83" s="15" t="s">
        <v>432</v>
      </c>
    </row>
    <row r="84" customFormat="false" ht="15" hidden="false" customHeight="false" outlineLevel="0" collapsed="false">
      <c r="A84" s="33" t="n">
        <v>83</v>
      </c>
      <c r="B84" s="34" t="s">
        <v>433</v>
      </c>
      <c r="C84" s="34" t="s">
        <v>434</v>
      </c>
      <c r="D84" s="15" t="s">
        <v>94</v>
      </c>
      <c r="E84" s="15" t="s">
        <v>435</v>
      </c>
      <c r="F84" s="33" t="s">
        <v>81</v>
      </c>
      <c r="G84" s="33" t="s">
        <v>151</v>
      </c>
      <c r="H84" s="33" t="s">
        <v>152</v>
      </c>
      <c r="I84" s="33" t="n">
        <v>10</v>
      </c>
      <c r="J84" s="33" t="n">
        <v>2</v>
      </c>
      <c r="K84" s="33" t="n">
        <v>2</v>
      </c>
      <c r="L84" s="36" t="s">
        <v>81</v>
      </c>
      <c r="M84" s="35" t="s">
        <v>153</v>
      </c>
      <c r="N84" s="15" t="s">
        <v>154</v>
      </c>
      <c r="O84" s="15" t="s">
        <v>436</v>
      </c>
    </row>
    <row r="85" customFormat="false" ht="15" hidden="false" customHeight="false" outlineLevel="0" collapsed="false">
      <c r="A85" s="33" t="n">
        <v>84</v>
      </c>
      <c r="B85" s="34" t="s">
        <v>437</v>
      </c>
      <c r="C85" s="34" t="s">
        <v>438</v>
      </c>
      <c r="D85" s="15" t="s">
        <v>95</v>
      </c>
      <c r="E85" s="15" t="s">
        <v>439</v>
      </c>
      <c r="F85" s="33" t="s">
        <v>175</v>
      </c>
      <c r="G85" s="33" t="s">
        <v>151</v>
      </c>
      <c r="H85" s="33" t="s">
        <v>152</v>
      </c>
      <c r="I85" s="33" t="n">
        <v>13</v>
      </c>
      <c r="J85" s="33" t="n">
        <v>2</v>
      </c>
      <c r="K85" s="33" t="n">
        <v>3</v>
      </c>
      <c r="L85" s="36" t="s">
        <v>81</v>
      </c>
      <c r="M85" s="35" t="s">
        <v>153</v>
      </c>
      <c r="N85" s="15" t="s">
        <v>154</v>
      </c>
      <c r="O85" s="15" t="s">
        <v>440</v>
      </c>
    </row>
    <row r="86" customFormat="false" ht="15" hidden="false" customHeight="false" outlineLevel="0" collapsed="false">
      <c r="A86" s="33" t="n">
        <v>85</v>
      </c>
      <c r="B86" s="34" t="s">
        <v>441</v>
      </c>
      <c r="C86" s="34" t="s">
        <v>438</v>
      </c>
      <c r="D86" s="15" t="s">
        <v>95</v>
      </c>
      <c r="E86" s="15" t="s">
        <v>439</v>
      </c>
      <c r="F86" s="33" t="s">
        <v>175</v>
      </c>
      <c r="G86" s="33" t="s">
        <v>151</v>
      </c>
      <c r="H86" s="33" t="s">
        <v>166</v>
      </c>
      <c r="I86" s="33" t="n">
        <v>11</v>
      </c>
      <c r="J86" s="33" t="n">
        <v>2</v>
      </c>
      <c r="K86" s="33" t="n">
        <v>2</v>
      </c>
      <c r="L86" s="36" t="s">
        <v>81</v>
      </c>
      <c r="M86" s="35" t="s">
        <v>153</v>
      </c>
      <c r="N86" s="15" t="s">
        <v>154</v>
      </c>
      <c r="O86" s="15" t="s">
        <v>442</v>
      </c>
    </row>
    <row r="87" customFormat="false" ht="15" hidden="false" customHeight="false" outlineLevel="0" collapsed="false">
      <c r="A87" s="33" t="n">
        <v>86</v>
      </c>
      <c r="B87" s="34" t="s">
        <v>443</v>
      </c>
      <c r="C87" s="34" t="s">
        <v>444</v>
      </c>
      <c r="D87" s="15" t="s">
        <v>92</v>
      </c>
      <c r="E87" s="15" t="s">
        <v>445</v>
      </c>
      <c r="F87" s="33" t="s">
        <v>175</v>
      </c>
      <c r="G87" s="33" t="s">
        <v>151</v>
      </c>
      <c r="H87" s="33" t="s">
        <v>152</v>
      </c>
      <c r="I87" s="33" t="n">
        <v>13</v>
      </c>
      <c r="J87" s="33" t="n">
        <v>2</v>
      </c>
      <c r="K87" s="33" t="n">
        <v>4</v>
      </c>
      <c r="L87" s="36" t="s">
        <v>81</v>
      </c>
      <c r="M87" s="35" t="s">
        <v>153</v>
      </c>
      <c r="N87" s="15" t="s">
        <v>154</v>
      </c>
      <c r="O87" s="15" t="s">
        <v>446</v>
      </c>
    </row>
    <row r="88" customFormat="false" ht="15" hidden="false" customHeight="false" outlineLevel="0" collapsed="false">
      <c r="A88" s="33" t="n">
        <v>87</v>
      </c>
      <c r="B88" s="34" t="s">
        <v>447</v>
      </c>
      <c r="C88" s="34" t="s">
        <v>444</v>
      </c>
      <c r="D88" s="15" t="s">
        <v>92</v>
      </c>
      <c r="E88" s="15" t="s">
        <v>445</v>
      </c>
      <c r="F88" s="33" t="s">
        <v>175</v>
      </c>
      <c r="G88" s="33" t="s">
        <v>151</v>
      </c>
      <c r="H88" s="33" t="s">
        <v>166</v>
      </c>
      <c r="I88" s="33" t="n">
        <v>12</v>
      </c>
      <c r="J88" s="33" t="n">
        <v>1</v>
      </c>
      <c r="K88" s="33" t="n">
        <v>3</v>
      </c>
      <c r="L88" s="36" t="s">
        <v>81</v>
      </c>
      <c r="M88" s="35" t="s">
        <v>153</v>
      </c>
      <c r="N88" s="15" t="s">
        <v>154</v>
      </c>
      <c r="O88" s="15" t="s">
        <v>422</v>
      </c>
    </row>
    <row r="89" customFormat="false" ht="15" hidden="false" customHeight="false" outlineLevel="0" collapsed="false">
      <c r="A89" s="33" t="n">
        <v>88</v>
      </c>
      <c r="B89" s="34" t="s">
        <v>448</v>
      </c>
      <c r="C89" s="34" t="s">
        <v>449</v>
      </c>
      <c r="D89" s="15" t="s">
        <v>92</v>
      </c>
      <c r="E89" s="15" t="s">
        <v>450</v>
      </c>
      <c r="F89" s="33" t="s">
        <v>159</v>
      </c>
      <c r="G89" s="33" t="s">
        <v>151</v>
      </c>
      <c r="H89" s="33" t="s">
        <v>152</v>
      </c>
      <c r="I89" s="33" t="n">
        <v>11</v>
      </c>
      <c r="J89" s="33" t="n">
        <v>2</v>
      </c>
      <c r="K89" s="33" t="n">
        <v>2</v>
      </c>
      <c r="L89" s="36" t="s">
        <v>81</v>
      </c>
      <c r="M89" s="35" t="s">
        <v>153</v>
      </c>
      <c r="N89" s="15" t="s">
        <v>154</v>
      </c>
      <c r="O89" s="15" t="s">
        <v>442</v>
      </c>
    </row>
    <row r="90" customFormat="false" ht="15" hidden="false" customHeight="false" outlineLevel="0" collapsed="false">
      <c r="A90" s="33" t="n">
        <v>89</v>
      </c>
      <c r="B90" s="34" t="s">
        <v>451</v>
      </c>
      <c r="C90" s="34" t="s">
        <v>452</v>
      </c>
      <c r="D90" s="15" t="s">
        <v>93</v>
      </c>
      <c r="E90" s="15" t="s">
        <v>453</v>
      </c>
      <c r="F90" s="33" t="s">
        <v>81</v>
      </c>
      <c r="G90" s="33" t="s">
        <v>151</v>
      </c>
      <c r="H90" s="33" t="s">
        <v>152</v>
      </c>
      <c r="I90" s="33" t="n">
        <v>12</v>
      </c>
      <c r="J90" s="33" t="n">
        <v>2</v>
      </c>
      <c r="K90" s="33" t="n">
        <v>5</v>
      </c>
      <c r="L90" s="37" t="s">
        <v>82</v>
      </c>
      <c r="M90" s="35" t="s">
        <v>153</v>
      </c>
      <c r="N90" s="15" t="s">
        <v>154</v>
      </c>
      <c r="O90" s="15" t="s">
        <v>317</v>
      </c>
    </row>
    <row r="91" customFormat="false" ht="15" hidden="false" customHeight="false" outlineLevel="0" collapsed="false">
      <c r="A91" s="33" t="n">
        <v>90</v>
      </c>
      <c r="B91" s="34" t="s">
        <v>454</v>
      </c>
      <c r="C91" s="34" t="s">
        <v>455</v>
      </c>
      <c r="D91" s="15" t="s">
        <v>93</v>
      </c>
      <c r="E91" s="15" t="s">
        <v>456</v>
      </c>
      <c r="F91" s="33" t="s">
        <v>175</v>
      </c>
      <c r="G91" s="33" t="s">
        <v>182</v>
      </c>
      <c r="H91" s="33" t="s">
        <v>152</v>
      </c>
      <c r="I91" s="33" t="n">
        <v>12</v>
      </c>
      <c r="J91" s="33" t="n">
        <v>2</v>
      </c>
      <c r="K91" s="33" t="n">
        <v>5</v>
      </c>
      <c r="L91" s="37" t="s">
        <v>82</v>
      </c>
      <c r="M91" s="35" t="s">
        <v>153</v>
      </c>
      <c r="N91" s="15" t="s">
        <v>154</v>
      </c>
      <c r="O91" s="15" t="s">
        <v>457</v>
      </c>
    </row>
    <row r="92" customFormat="false" ht="15" hidden="false" customHeight="false" outlineLevel="0" collapsed="false">
      <c r="A92" s="33" t="n">
        <v>91</v>
      </c>
      <c r="B92" s="34" t="s">
        <v>458</v>
      </c>
      <c r="C92" s="34" t="s">
        <v>459</v>
      </c>
      <c r="D92" s="15" t="s">
        <v>93</v>
      </c>
      <c r="E92" s="15" t="s">
        <v>460</v>
      </c>
      <c r="F92" s="33" t="s">
        <v>81</v>
      </c>
      <c r="G92" s="33" t="s">
        <v>151</v>
      </c>
      <c r="H92" s="33" t="s">
        <v>152</v>
      </c>
      <c r="I92" s="33" t="n">
        <v>12</v>
      </c>
      <c r="J92" s="33" t="n">
        <v>2</v>
      </c>
      <c r="K92" s="33" t="n">
        <v>4</v>
      </c>
      <c r="L92" s="36" t="s">
        <v>81</v>
      </c>
      <c r="M92" s="35" t="s">
        <v>153</v>
      </c>
      <c r="N92" s="15" t="s">
        <v>154</v>
      </c>
      <c r="O92" s="15" t="s">
        <v>325</v>
      </c>
    </row>
    <row r="93" customFormat="false" ht="15" hidden="false" customHeight="false" outlineLevel="0" collapsed="false">
      <c r="A93" s="33" t="n">
        <v>92</v>
      </c>
      <c r="B93" s="34" t="s">
        <v>461</v>
      </c>
      <c r="C93" s="34" t="s">
        <v>462</v>
      </c>
      <c r="D93" s="15" t="s">
        <v>96</v>
      </c>
      <c r="E93" s="15" t="s">
        <v>463</v>
      </c>
      <c r="F93" s="33" t="s">
        <v>81</v>
      </c>
      <c r="G93" s="33" t="s">
        <v>151</v>
      </c>
      <c r="H93" s="33" t="s">
        <v>152</v>
      </c>
      <c r="I93" s="33" t="n">
        <v>12</v>
      </c>
      <c r="J93" s="33" t="n">
        <v>3</v>
      </c>
      <c r="K93" s="33" t="n">
        <v>4</v>
      </c>
      <c r="L93" s="36" t="s">
        <v>81</v>
      </c>
      <c r="M93" s="35" t="s">
        <v>153</v>
      </c>
      <c r="N93" s="15" t="s">
        <v>154</v>
      </c>
      <c r="O93" s="15" t="s">
        <v>464</v>
      </c>
    </row>
    <row r="94" customFormat="false" ht="15" hidden="false" customHeight="false" outlineLevel="0" collapsed="false">
      <c r="A94" s="33" t="n">
        <v>93</v>
      </c>
      <c r="B94" s="34" t="s">
        <v>465</v>
      </c>
      <c r="C94" s="34" t="s">
        <v>466</v>
      </c>
      <c r="D94" s="15" t="s">
        <v>98</v>
      </c>
      <c r="E94" s="15" t="s">
        <v>467</v>
      </c>
      <c r="F94" s="33" t="s">
        <v>81</v>
      </c>
      <c r="G94" s="33" t="s">
        <v>182</v>
      </c>
      <c r="H94" s="33" t="s">
        <v>152</v>
      </c>
      <c r="I94" s="33" t="n">
        <v>11</v>
      </c>
      <c r="J94" s="33" t="n">
        <v>2</v>
      </c>
      <c r="K94" s="33" t="n">
        <v>6</v>
      </c>
      <c r="L94" s="37" t="s">
        <v>82</v>
      </c>
      <c r="M94" s="35" t="s">
        <v>153</v>
      </c>
      <c r="N94" s="15" t="s">
        <v>232</v>
      </c>
      <c r="O94" s="15" t="s">
        <v>468</v>
      </c>
    </row>
    <row r="95" customFormat="false" ht="15" hidden="false" customHeight="false" outlineLevel="0" collapsed="false">
      <c r="A95" s="33" t="n">
        <v>94</v>
      </c>
      <c r="B95" s="34" t="s">
        <v>469</v>
      </c>
      <c r="C95" s="34" t="s">
        <v>470</v>
      </c>
      <c r="D95" s="15" t="s">
        <v>98</v>
      </c>
      <c r="E95" s="15" t="s">
        <v>471</v>
      </c>
      <c r="F95" s="33" t="s">
        <v>81</v>
      </c>
      <c r="G95" s="33" t="s">
        <v>182</v>
      </c>
      <c r="H95" s="33" t="s">
        <v>152</v>
      </c>
      <c r="I95" s="33" t="n">
        <v>12</v>
      </c>
      <c r="J95" s="33" t="n">
        <v>1</v>
      </c>
      <c r="K95" s="33" t="n">
        <v>7</v>
      </c>
      <c r="L95" s="37" t="s">
        <v>82</v>
      </c>
      <c r="M95" s="35" t="s">
        <v>153</v>
      </c>
      <c r="N95" s="15" t="s">
        <v>232</v>
      </c>
      <c r="O95" s="15" t="s">
        <v>472</v>
      </c>
    </row>
    <row r="96" customFormat="false" ht="15" hidden="false" customHeight="false" outlineLevel="0" collapsed="false">
      <c r="A96" s="33" t="n">
        <v>95</v>
      </c>
      <c r="B96" s="34" t="s">
        <v>473</v>
      </c>
      <c r="C96" s="34" t="s">
        <v>474</v>
      </c>
      <c r="D96" s="15" t="s">
        <v>94</v>
      </c>
      <c r="E96" s="15" t="s">
        <v>475</v>
      </c>
      <c r="F96" s="33" t="s">
        <v>81</v>
      </c>
      <c r="G96" s="33" t="s">
        <v>151</v>
      </c>
      <c r="H96" s="33" t="s">
        <v>152</v>
      </c>
      <c r="I96" s="33" t="n">
        <v>11</v>
      </c>
      <c r="J96" s="33" t="n">
        <v>1</v>
      </c>
      <c r="K96" s="33" t="n">
        <v>2</v>
      </c>
      <c r="L96" s="36" t="s">
        <v>81</v>
      </c>
      <c r="M96" s="35" t="s">
        <v>153</v>
      </c>
      <c r="N96" s="15" t="s">
        <v>154</v>
      </c>
      <c r="O96" s="15" t="s">
        <v>270</v>
      </c>
    </row>
    <row r="97" customFormat="false" ht="15" hidden="false" customHeight="false" outlineLevel="0" collapsed="false">
      <c r="A97" s="33" t="n">
        <v>96</v>
      </c>
      <c r="B97" s="34" t="s">
        <v>476</v>
      </c>
      <c r="C97" s="34" t="s">
        <v>477</v>
      </c>
      <c r="D97" s="15" t="s">
        <v>94</v>
      </c>
      <c r="E97" s="15" t="s">
        <v>478</v>
      </c>
      <c r="F97" s="33" t="s">
        <v>81</v>
      </c>
      <c r="G97" s="33" t="s">
        <v>151</v>
      </c>
      <c r="H97" s="33" t="s">
        <v>152</v>
      </c>
      <c r="I97" s="33" t="n">
        <v>10</v>
      </c>
      <c r="J97" s="33" t="n">
        <v>1</v>
      </c>
      <c r="K97" s="33" t="n">
        <v>3</v>
      </c>
      <c r="L97" s="36" t="s">
        <v>81</v>
      </c>
      <c r="M97" s="35" t="s">
        <v>153</v>
      </c>
      <c r="N97" s="15" t="s">
        <v>154</v>
      </c>
      <c r="O97" s="15" t="s">
        <v>479</v>
      </c>
    </row>
    <row r="98" customFormat="false" ht="15" hidden="false" customHeight="false" outlineLevel="0" collapsed="false">
      <c r="A98" s="33" t="n">
        <v>97</v>
      </c>
      <c r="B98" s="34" t="s">
        <v>480</v>
      </c>
      <c r="C98" s="34" t="s">
        <v>481</v>
      </c>
      <c r="D98" s="15" t="s">
        <v>94</v>
      </c>
      <c r="E98" s="15" t="s">
        <v>482</v>
      </c>
      <c r="F98" s="33" t="s">
        <v>81</v>
      </c>
      <c r="G98" s="33" t="s">
        <v>151</v>
      </c>
      <c r="H98" s="33" t="s">
        <v>152</v>
      </c>
      <c r="I98" s="33" t="n">
        <v>12</v>
      </c>
      <c r="J98" s="33" t="n">
        <v>2</v>
      </c>
      <c r="K98" s="33" t="n">
        <v>4</v>
      </c>
      <c r="L98" s="36" t="s">
        <v>81</v>
      </c>
      <c r="M98" s="35" t="s">
        <v>153</v>
      </c>
      <c r="N98" s="15" t="s">
        <v>154</v>
      </c>
      <c r="O98" s="15" t="s">
        <v>483</v>
      </c>
    </row>
    <row r="99" customFormat="false" ht="15" hidden="false" customHeight="false" outlineLevel="0" collapsed="false">
      <c r="A99" s="33" t="n">
        <v>98</v>
      </c>
      <c r="B99" s="34" t="s">
        <v>484</v>
      </c>
      <c r="C99" s="34" t="s">
        <v>485</v>
      </c>
      <c r="D99" s="15" t="s">
        <v>94</v>
      </c>
      <c r="E99" s="15" t="s">
        <v>486</v>
      </c>
      <c r="F99" s="33" t="s">
        <v>81</v>
      </c>
      <c r="G99" s="33" t="s">
        <v>151</v>
      </c>
      <c r="H99" s="33" t="s">
        <v>152</v>
      </c>
      <c r="I99" s="33" t="n">
        <v>12</v>
      </c>
      <c r="J99" s="33" t="n">
        <v>2</v>
      </c>
      <c r="K99" s="33" t="n">
        <v>2</v>
      </c>
      <c r="L99" s="36" t="s">
        <v>81</v>
      </c>
      <c r="M99" s="35" t="s">
        <v>153</v>
      </c>
      <c r="N99" s="15" t="s">
        <v>154</v>
      </c>
      <c r="O99" s="15" t="s">
        <v>487</v>
      </c>
    </row>
    <row r="100" customFormat="false" ht="15" hidden="false" customHeight="false" outlineLevel="0" collapsed="false">
      <c r="A100" s="33" t="n">
        <v>99</v>
      </c>
      <c r="B100" s="34" t="s">
        <v>488</v>
      </c>
      <c r="C100" s="34" t="s">
        <v>489</v>
      </c>
      <c r="D100" s="15" t="s">
        <v>93</v>
      </c>
      <c r="E100" s="15" t="s">
        <v>490</v>
      </c>
      <c r="F100" s="33" t="s">
        <v>81</v>
      </c>
      <c r="G100" s="33" t="s">
        <v>151</v>
      </c>
      <c r="H100" s="33" t="s">
        <v>152</v>
      </c>
      <c r="I100" s="33" t="n">
        <v>12</v>
      </c>
      <c r="J100" s="33" t="n">
        <v>2</v>
      </c>
      <c r="K100" s="33" t="n">
        <v>4</v>
      </c>
      <c r="L100" s="36" t="s">
        <v>81</v>
      </c>
      <c r="M100" s="35" t="s">
        <v>153</v>
      </c>
      <c r="N100" s="15" t="s">
        <v>154</v>
      </c>
      <c r="O100" s="15" t="s">
        <v>325</v>
      </c>
    </row>
    <row r="101" customFormat="false" ht="15" hidden="false" customHeight="false" outlineLevel="0" collapsed="false">
      <c r="A101" s="33" t="n">
        <v>100</v>
      </c>
      <c r="B101" s="34" t="s">
        <v>491</v>
      </c>
      <c r="C101" s="34" t="s">
        <v>492</v>
      </c>
      <c r="D101" s="15" t="s">
        <v>92</v>
      </c>
      <c r="E101" s="15" t="s">
        <v>493</v>
      </c>
      <c r="F101" s="33" t="s">
        <v>81</v>
      </c>
      <c r="G101" s="33" t="s">
        <v>151</v>
      </c>
      <c r="H101" s="33" t="s">
        <v>152</v>
      </c>
      <c r="I101" s="33" t="n">
        <v>11</v>
      </c>
      <c r="J101" s="33" t="n">
        <v>3</v>
      </c>
      <c r="K101" s="33" t="n">
        <v>3</v>
      </c>
      <c r="L101" s="36" t="s">
        <v>81</v>
      </c>
      <c r="M101" s="35" t="s">
        <v>153</v>
      </c>
      <c r="N101" s="15" t="s">
        <v>154</v>
      </c>
      <c r="O101" s="15" t="s">
        <v>494</v>
      </c>
    </row>
    <row r="102" customFormat="false" ht="15" hidden="false" customHeight="false" outlineLevel="0" collapsed="false">
      <c r="A102" s="33" t="n">
        <v>101</v>
      </c>
      <c r="B102" s="34" t="s">
        <v>495</v>
      </c>
      <c r="C102" s="34" t="s">
        <v>492</v>
      </c>
      <c r="D102" s="15" t="s">
        <v>92</v>
      </c>
      <c r="E102" s="15" t="s">
        <v>493</v>
      </c>
      <c r="F102" s="33" t="s">
        <v>81</v>
      </c>
      <c r="G102" s="33" t="s">
        <v>151</v>
      </c>
      <c r="H102" s="33" t="s">
        <v>166</v>
      </c>
      <c r="I102" s="33" t="n">
        <v>10</v>
      </c>
      <c r="J102" s="33" t="n">
        <v>3</v>
      </c>
      <c r="K102" s="33" t="n">
        <v>2</v>
      </c>
      <c r="L102" s="36" t="s">
        <v>81</v>
      </c>
      <c r="M102" s="35" t="s">
        <v>153</v>
      </c>
      <c r="N102" s="15" t="s">
        <v>154</v>
      </c>
      <c r="O102" s="15" t="s">
        <v>496</v>
      </c>
    </row>
    <row r="103" customFormat="false" ht="15" hidden="false" customHeight="false" outlineLevel="0" collapsed="false">
      <c r="A103" s="33" t="n">
        <v>102</v>
      </c>
      <c r="B103" s="34" t="s">
        <v>497</v>
      </c>
      <c r="C103" s="34" t="s">
        <v>498</v>
      </c>
      <c r="D103" s="15" t="s">
        <v>94</v>
      </c>
      <c r="E103" s="15" t="s">
        <v>499</v>
      </c>
      <c r="F103" s="33" t="s">
        <v>81</v>
      </c>
      <c r="G103" s="33" t="s">
        <v>151</v>
      </c>
      <c r="H103" s="33" t="s">
        <v>152</v>
      </c>
      <c r="I103" s="33" t="n">
        <v>12</v>
      </c>
      <c r="J103" s="33" t="n">
        <v>1</v>
      </c>
      <c r="K103" s="33" t="n">
        <v>3</v>
      </c>
      <c r="L103" s="36" t="s">
        <v>81</v>
      </c>
      <c r="M103" s="35" t="s">
        <v>153</v>
      </c>
      <c r="N103" s="15" t="s">
        <v>154</v>
      </c>
      <c r="O103" s="15" t="s">
        <v>280</v>
      </c>
    </row>
    <row r="104" customFormat="false" ht="22.35" hidden="false" customHeight="false" outlineLevel="0" collapsed="false">
      <c r="A104" s="33" t="n">
        <v>103</v>
      </c>
      <c r="B104" s="34" t="s">
        <v>500</v>
      </c>
      <c r="C104" s="34" t="s">
        <v>501</v>
      </c>
      <c r="D104" s="15" t="s">
        <v>96</v>
      </c>
      <c r="E104" s="15" t="s">
        <v>502</v>
      </c>
      <c r="F104" s="33" t="s">
        <v>159</v>
      </c>
      <c r="G104" s="33" t="s">
        <v>151</v>
      </c>
      <c r="H104" s="33" t="s">
        <v>152</v>
      </c>
      <c r="I104" s="33" t="n">
        <v>12</v>
      </c>
      <c r="J104" s="33" t="n">
        <v>2</v>
      </c>
      <c r="K104" s="33" t="n">
        <v>3</v>
      </c>
      <c r="L104" s="36" t="s">
        <v>81</v>
      </c>
      <c r="M104" s="35" t="s">
        <v>153</v>
      </c>
      <c r="N104" s="15" t="s">
        <v>154</v>
      </c>
      <c r="O104" s="15" t="s">
        <v>503</v>
      </c>
    </row>
    <row r="105" customFormat="false" ht="22.35" hidden="false" customHeight="false" outlineLevel="0" collapsed="false">
      <c r="A105" s="33" t="n">
        <v>104</v>
      </c>
      <c r="B105" s="34" t="s">
        <v>123</v>
      </c>
      <c r="C105" s="34" t="s">
        <v>504</v>
      </c>
      <c r="D105" s="15" t="s">
        <v>96</v>
      </c>
      <c r="E105" s="15" t="s">
        <v>124</v>
      </c>
      <c r="F105" s="33" t="s">
        <v>159</v>
      </c>
      <c r="G105" s="33" t="s">
        <v>151</v>
      </c>
      <c r="H105" s="33" t="s">
        <v>152</v>
      </c>
      <c r="I105" s="33" t="n">
        <v>12</v>
      </c>
      <c r="J105" s="33" t="n">
        <v>2</v>
      </c>
      <c r="K105" s="33" t="n">
        <v>7</v>
      </c>
      <c r="L105" s="37" t="s">
        <v>82</v>
      </c>
      <c r="M105" s="37" t="s">
        <v>217</v>
      </c>
      <c r="N105" s="15" t="s">
        <v>218</v>
      </c>
      <c r="O105" s="15" t="s">
        <v>505</v>
      </c>
    </row>
    <row r="106" customFormat="false" ht="15" hidden="false" customHeight="false" outlineLevel="0" collapsed="false">
      <c r="A106" s="33" t="n">
        <v>105</v>
      </c>
      <c r="B106" s="34" t="s">
        <v>506</v>
      </c>
      <c r="C106" s="34" t="s">
        <v>507</v>
      </c>
      <c r="D106" s="15" t="s">
        <v>98</v>
      </c>
      <c r="E106" s="15" t="s">
        <v>508</v>
      </c>
      <c r="F106" s="33" t="s">
        <v>175</v>
      </c>
      <c r="G106" s="33" t="s">
        <v>151</v>
      </c>
      <c r="H106" s="33" t="s">
        <v>152</v>
      </c>
      <c r="I106" s="33" t="n">
        <v>12</v>
      </c>
      <c r="J106" s="33" t="n">
        <v>1</v>
      </c>
      <c r="K106" s="33" t="n">
        <v>5</v>
      </c>
      <c r="L106" s="37" t="s">
        <v>82</v>
      </c>
      <c r="M106" s="35" t="s">
        <v>153</v>
      </c>
      <c r="N106" s="15" t="s">
        <v>232</v>
      </c>
      <c r="O106" s="15" t="s">
        <v>358</v>
      </c>
    </row>
    <row r="107" customFormat="false" ht="15" hidden="false" customHeight="false" outlineLevel="0" collapsed="false">
      <c r="A107" s="33" t="n">
        <v>106</v>
      </c>
      <c r="B107" s="34" t="s">
        <v>509</v>
      </c>
      <c r="C107" s="34" t="s">
        <v>510</v>
      </c>
      <c r="D107" s="15" t="s">
        <v>94</v>
      </c>
      <c r="E107" s="15" t="s">
        <v>511</v>
      </c>
      <c r="F107" s="33" t="s">
        <v>81</v>
      </c>
      <c r="G107" s="33" t="s">
        <v>151</v>
      </c>
      <c r="H107" s="33" t="s">
        <v>152</v>
      </c>
      <c r="I107" s="33" t="n">
        <v>12</v>
      </c>
      <c r="J107" s="33" t="n">
        <v>3</v>
      </c>
      <c r="K107" s="33" t="n">
        <v>3</v>
      </c>
      <c r="L107" s="36" t="s">
        <v>81</v>
      </c>
      <c r="M107" s="35" t="s">
        <v>153</v>
      </c>
      <c r="N107" s="15" t="s">
        <v>154</v>
      </c>
      <c r="O107" s="15" t="s">
        <v>512</v>
      </c>
    </row>
    <row r="108" customFormat="false" ht="15" hidden="false" customHeight="false" outlineLevel="0" collapsed="false">
      <c r="A108" s="33" t="n">
        <v>107</v>
      </c>
      <c r="B108" s="34" t="s">
        <v>513</v>
      </c>
      <c r="C108" s="34" t="s">
        <v>510</v>
      </c>
      <c r="D108" s="15" t="s">
        <v>94</v>
      </c>
      <c r="E108" s="15" t="s">
        <v>511</v>
      </c>
      <c r="F108" s="33" t="s">
        <v>81</v>
      </c>
      <c r="G108" s="33" t="s">
        <v>151</v>
      </c>
      <c r="H108" s="33" t="s">
        <v>166</v>
      </c>
      <c r="I108" s="33" t="n">
        <v>11</v>
      </c>
      <c r="J108" s="33" t="n">
        <v>1</v>
      </c>
      <c r="K108" s="33" t="n">
        <v>0</v>
      </c>
      <c r="L108" s="35" t="s">
        <v>80</v>
      </c>
      <c r="M108" s="35" t="s">
        <v>153</v>
      </c>
      <c r="N108" s="15" t="s">
        <v>154</v>
      </c>
      <c r="O108" s="15" t="s">
        <v>248</v>
      </c>
    </row>
    <row r="109" customFormat="false" ht="15" hidden="false" customHeight="false" outlineLevel="0" collapsed="false">
      <c r="A109" s="33" t="n">
        <v>108</v>
      </c>
      <c r="B109" s="34" t="s">
        <v>514</v>
      </c>
      <c r="C109" s="34" t="s">
        <v>515</v>
      </c>
      <c r="D109" s="15" t="s">
        <v>94</v>
      </c>
      <c r="E109" s="15" t="s">
        <v>516</v>
      </c>
      <c r="F109" s="33" t="s">
        <v>81</v>
      </c>
      <c r="G109" s="33" t="s">
        <v>151</v>
      </c>
      <c r="H109" s="33" t="s">
        <v>152</v>
      </c>
      <c r="I109" s="33" t="n">
        <v>12</v>
      </c>
      <c r="J109" s="33" t="n">
        <v>3</v>
      </c>
      <c r="K109" s="33" t="n">
        <v>3</v>
      </c>
      <c r="L109" s="36" t="s">
        <v>81</v>
      </c>
      <c r="M109" s="35" t="s">
        <v>153</v>
      </c>
      <c r="N109" s="15" t="s">
        <v>154</v>
      </c>
      <c r="O109" s="15" t="s">
        <v>517</v>
      </c>
    </row>
    <row r="110" customFormat="false" ht="15" hidden="false" customHeight="false" outlineLevel="0" collapsed="false">
      <c r="A110" s="33" t="n">
        <v>109</v>
      </c>
      <c r="B110" s="34" t="s">
        <v>518</v>
      </c>
      <c r="C110" s="34" t="s">
        <v>515</v>
      </c>
      <c r="D110" s="15" t="s">
        <v>94</v>
      </c>
      <c r="E110" s="15" t="s">
        <v>516</v>
      </c>
      <c r="F110" s="33" t="s">
        <v>81</v>
      </c>
      <c r="G110" s="33" t="s">
        <v>151</v>
      </c>
      <c r="H110" s="33" t="s">
        <v>166</v>
      </c>
      <c r="I110" s="33" t="n">
        <v>12</v>
      </c>
      <c r="J110" s="33" t="n">
        <v>2</v>
      </c>
      <c r="K110" s="33" t="n">
        <v>2</v>
      </c>
      <c r="L110" s="36" t="s">
        <v>81</v>
      </c>
      <c r="M110" s="35" t="s">
        <v>153</v>
      </c>
      <c r="N110" s="15" t="s">
        <v>154</v>
      </c>
      <c r="O110" s="15" t="s">
        <v>487</v>
      </c>
    </row>
    <row r="111" customFormat="false" ht="15" hidden="false" customHeight="false" outlineLevel="0" collapsed="false">
      <c r="A111" s="33" t="n">
        <v>110</v>
      </c>
      <c r="B111" s="34" t="s">
        <v>519</v>
      </c>
      <c r="C111" s="34" t="s">
        <v>520</v>
      </c>
      <c r="D111" s="15" t="s">
        <v>94</v>
      </c>
      <c r="E111" s="15" t="s">
        <v>521</v>
      </c>
      <c r="F111" s="33" t="s">
        <v>81</v>
      </c>
      <c r="G111" s="33" t="s">
        <v>182</v>
      </c>
      <c r="H111" s="33" t="s">
        <v>152</v>
      </c>
      <c r="I111" s="33" t="n">
        <v>11</v>
      </c>
      <c r="J111" s="33" t="n">
        <v>1</v>
      </c>
      <c r="K111" s="33" t="n">
        <v>2</v>
      </c>
      <c r="L111" s="36" t="s">
        <v>81</v>
      </c>
      <c r="M111" s="35" t="s">
        <v>153</v>
      </c>
      <c r="N111" s="15" t="s">
        <v>154</v>
      </c>
      <c r="O111" s="15" t="s">
        <v>270</v>
      </c>
    </row>
    <row r="112" customFormat="false" ht="15" hidden="false" customHeight="false" outlineLevel="0" collapsed="false">
      <c r="A112" s="33" t="n">
        <v>111</v>
      </c>
      <c r="B112" s="34" t="s">
        <v>522</v>
      </c>
      <c r="C112" s="34" t="s">
        <v>523</v>
      </c>
      <c r="D112" s="15" t="s">
        <v>94</v>
      </c>
      <c r="E112" s="15" t="s">
        <v>524</v>
      </c>
      <c r="F112" s="33" t="s">
        <v>81</v>
      </c>
      <c r="G112" s="33" t="s">
        <v>151</v>
      </c>
      <c r="H112" s="33" t="s">
        <v>152</v>
      </c>
      <c r="I112" s="33" t="n">
        <v>11</v>
      </c>
      <c r="J112" s="33" t="n">
        <v>2</v>
      </c>
      <c r="K112" s="33" t="n">
        <v>3</v>
      </c>
      <c r="L112" s="36" t="s">
        <v>81</v>
      </c>
      <c r="M112" s="35" t="s">
        <v>153</v>
      </c>
      <c r="N112" s="15" t="s">
        <v>154</v>
      </c>
      <c r="O112" s="15" t="s">
        <v>426</v>
      </c>
    </row>
    <row r="113" customFormat="false" ht="15" hidden="false" customHeight="false" outlineLevel="0" collapsed="false">
      <c r="A113" s="33" t="n">
        <v>112</v>
      </c>
      <c r="B113" s="34" t="s">
        <v>525</v>
      </c>
      <c r="C113" s="34" t="s">
        <v>526</v>
      </c>
      <c r="D113" s="15" t="s">
        <v>94</v>
      </c>
      <c r="E113" s="15" t="s">
        <v>527</v>
      </c>
      <c r="F113" s="33" t="s">
        <v>81</v>
      </c>
      <c r="G113" s="33" t="s">
        <v>151</v>
      </c>
      <c r="H113" s="33" t="s">
        <v>152</v>
      </c>
      <c r="I113" s="33" t="n">
        <v>12</v>
      </c>
      <c r="J113" s="33" t="n">
        <v>3</v>
      </c>
      <c r="K113" s="33" t="n">
        <v>5</v>
      </c>
      <c r="L113" s="37" t="s">
        <v>82</v>
      </c>
      <c r="M113" s="35" t="s">
        <v>153</v>
      </c>
      <c r="N113" s="15" t="s">
        <v>154</v>
      </c>
      <c r="O113" s="15" t="s">
        <v>528</v>
      </c>
    </row>
    <row r="114" customFormat="false" ht="15" hidden="false" customHeight="false" outlineLevel="0" collapsed="false">
      <c r="A114" s="33" t="n">
        <v>113</v>
      </c>
      <c r="B114" s="34" t="s">
        <v>529</v>
      </c>
      <c r="C114" s="34" t="s">
        <v>530</v>
      </c>
      <c r="D114" s="15" t="s">
        <v>99</v>
      </c>
      <c r="E114" s="15" t="s">
        <v>531</v>
      </c>
      <c r="F114" s="33" t="s">
        <v>81</v>
      </c>
      <c r="G114" s="33" t="s">
        <v>151</v>
      </c>
      <c r="H114" s="33" t="s">
        <v>152</v>
      </c>
      <c r="I114" s="33" t="n">
        <v>12</v>
      </c>
      <c r="J114" s="33" t="n">
        <v>2</v>
      </c>
      <c r="K114" s="33" t="n">
        <v>3</v>
      </c>
      <c r="L114" s="36" t="s">
        <v>81</v>
      </c>
      <c r="M114" s="35" t="s">
        <v>153</v>
      </c>
      <c r="N114" s="15" t="s">
        <v>154</v>
      </c>
      <c r="O114" s="15" t="s">
        <v>532</v>
      </c>
    </row>
    <row r="115" customFormat="false" ht="15" hidden="false" customHeight="false" outlineLevel="0" collapsed="false">
      <c r="A115" s="33" t="n">
        <v>114</v>
      </c>
      <c r="B115" s="34" t="s">
        <v>533</v>
      </c>
      <c r="C115" s="34" t="s">
        <v>534</v>
      </c>
      <c r="D115" s="15" t="s">
        <v>99</v>
      </c>
      <c r="E115" s="15" t="s">
        <v>535</v>
      </c>
      <c r="F115" s="33" t="s">
        <v>81</v>
      </c>
      <c r="G115" s="33" t="s">
        <v>182</v>
      </c>
      <c r="H115" s="33" t="s">
        <v>152</v>
      </c>
      <c r="I115" s="33" t="n">
        <v>12</v>
      </c>
      <c r="J115" s="33" t="n">
        <v>2</v>
      </c>
      <c r="K115" s="33" t="n">
        <v>4</v>
      </c>
      <c r="L115" s="36" t="s">
        <v>81</v>
      </c>
      <c r="M115" s="35" t="s">
        <v>153</v>
      </c>
      <c r="N115" s="15" t="s">
        <v>154</v>
      </c>
      <c r="O115" s="15" t="s">
        <v>536</v>
      </c>
    </row>
    <row r="116" customFormat="false" ht="15" hidden="false" customHeight="false" outlineLevel="0" collapsed="false">
      <c r="A116" s="33" t="n">
        <v>115</v>
      </c>
      <c r="B116" s="34" t="s">
        <v>537</v>
      </c>
      <c r="C116" s="34" t="s">
        <v>538</v>
      </c>
      <c r="D116" s="15" t="s">
        <v>92</v>
      </c>
      <c r="E116" s="15" t="s">
        <v>539</v>
      </c>
      <c r="F116" s="33" t="s">
        <v>81</v>
      </c>
      <c r="G116" s="33" t="s">
        <v>151</v>
      </c>
      <c r="H116" s="33" t="s">
        <v>152</v>
      </c>
      <c r="I116" s="33" t="n">
        <v>10</v>
      </c>
      <c r="J116" s="33" t="n">
        <v>4</v>
      </c>
      <c r="K116" s="33" t="n">
        <v>4</v>
      </c>
      <c r="L116" s="36" t="s">
        <v>81</v>
      </c>
      <c r="M116" s="35" t="s">
        <v>153</v>
      </c>
      <c r="N116" s="15" t="s">
        <v>154</v>
      </c>
      <c r="O116" s="15" t="s">
        <v>540</v>
      </c>
    </row>
    <row r="117" customFormat="false" ht="15" hidden="false" customHeight="false" outlineLevel="0" collapsed="false">
      <c r="A117" s="33" t="n">
        <v>116</v>
      </c>
      <c r="B117" s="34" t="s">
        <v>541</v>
      </c>
      <c r="C117" s="34" t="s">
        <v>542</v>
      </c>
      <c r="D117" s="15" t="s">
        <v>94</v>
      </c>
      <c r="E117" s="15" t="s">
        <v>543</v>
      </c>
      <c r="F117" s="33" t="s">
        <v>175</v>
      </c>
      <c r="G117" s="33" t="s">
        <v>151</v>
      </c>
      <c r="H117" s="33" t="s">
        <v>152</v>
      </c>
      <c r="I117" s="33" t="n">
        <v>12</v>
      </c>
      <c r="J117" s="33" t="n">
        <v>2</v>
      </c>
      <c r="K117" s="33" t="n">
        <v>3</v>
      </c>
      <c r="L117" s="36" t="s">
        <v>81</v>
      </c>
      <c r="M117" s="35" t="s">
        <v>153</v>
      </c>
      <c r="N117" s="15" t="s">
        <v>154</v>
      </c>
      <c r="O117" s="15" t="s">
        <v>532</v>
      </c>
    </row>
    <row r="118" customFormat="false" ht="15" hidden="false" customHeight="false" outlineLevel="0" collapsed="false">
      <c r="A118" s="33" t="n">
        <v>117</v>
      </c>
      <c r="B118" s="34" t="s">
        <v>544</v>
      </c>
      <c r="C118" s="34" t="s">
        <v>542</v>
      </c>
      <c r="D118" s="15" t="s">
        <v>94</v>
      </c>
      <c r="E118" s="15" t="s">
        <v>543</v>
      </c>
      <c r="F118" s="33" t="s">
        <v>175</v>
      </c>
      <c r="G118" s="33" t="s">
        <v>151</v>
      </c>
      <c r="H118" s="33" t="s">
        <v>166</v>
      </c>
      <c r="I118" s="33" t="n">
        <v>12</v>
      </c>
      <c r="J118" s="33" t="n">
        <v>2</v>
      </c>
      <c r="K118" s="33" t="n">
        <v>4</v>
      </c>
      <c r="L118" s="36" t="s">
        <v>81</v>
      </c>
      <c r="M118" s="35" t="s">
        <v>153</v>
      </c>
      <c r="N118" s="15" t="s">
        <v>154</v>
      </c>
      <c r="O118" s="15" t="s">
        <v>545</v>
      </c>
    </row>
    <row r="119" customFormat="false" ht="15" hidden="false" customHeight="false" outlineLevel="0" collapsed="false">
      <c r="A119" s="33" t="n">
        <v>118</v>
      </c>
      <c r="B119" s="34" t="s">
        <v>546</v>
      </c>
      <c r="C119" s="34" t="s">
        <v>547</v>
      </c>
      <c r="D119" s="15" t="s">
        <v>94</v>
      </c>
      <c r="E119" s="15" t="s">
        <v>548</v>
      </c>
      <c r="F119" s="33" t="s">
        <v>175</v>
      </c>
      <c r="G119" s="33" t="s">
        <v>151</v>
      </c>
      <c r="H119" s="33" t="s">
        <v>152</v>
      </c>
      <c r="I119" s="33" t="n">
        <v>12</v>
      </c>
      <c r="J119" s="33" t="n">
        <v>2</v>
      </c>
      <c r="K119" s="33" t="n">
        <v>4</v>
      </c>
      <c r="L119" s="36" t="s">
        <v>81</v>
      </c>
      <c r="M119" s="35" t="s">
        <v>153</v>
      </c>
      <c r="N119" s="15" t="s">
        <v>154</v>
      </c>
      <c r="O119" s="15" t="s">
        <v>545</v>
      </c>
    </row>
    <row r="120" customFormat="false" ht="15" hidden="false" customHeight="false" outlineLevel="0" collapsed="false">
      <c r="A120" s="33" t="n">
        <v>119</v>
      </c>
      <c r="B120" s="34" t="s">
        <v>549</v>
      </c>
      <c r="C120" s="34" t="s">
        <v>550</v>
      </c>
      <c r="D120" s="15" t="s">
        <v>94</v>
      </c>
      <c r="E120" s="15" t="s">
        <v>551</v>
      </c>
      <c r="F120" s="33" t="s">
        <v>175</v>
      </c>
      <c r="G120" s="33" t="s">
        <v>151</v>
      </c>
      <c r="H120" s="33" t="s">
        <v>152</v>
      </c>
      <c r="I120" s="33" t="n">
        <v>12</v>
      </c>
      <c r="J120" s="33" t="n">
        <v>3</v>
      </c>
      <c r="K120" s="33" t="n">
        <v>5</v>
      </c>
      <c r="L120" s="37" t="s">
        <v>82</v>
      </c>
      <c r="M120" s="35" t="s">
        <v>153</v>
      </c>
      <c r="N120" s="15" t="s">
        <v>154</v>
      </c>
      <c r="O120" s="15" t="s">
        <v>552</v>
      </c>
    </row>
    <row r="121" customFormat="false" ht="15" hidden="false" customHeight="false" outlineLevel="0" collapsed="false">
      <c r="A121" s="33" t="n">
        <v>120</v>
      </c>
      <c r="B121" s="34" t="s">
        <v>553</v>
      </c>
      <c r="C121" s="34" t="s">
        <v>554</v>
      </c>
      <c r="D121" s="15" t="s">
        <v>94</v>
      </c>
      <c r="E121" s="15" t="s">
        <v>555</v>
      </c>
      <c r="F121" s="33" t="s">
        <v>81</v>
      </c>
      <c r="G121" s="33" t="s">
        <v>151</v>
      </c>
      <c r="H121" s="33" t="s">
        <v>152</v>
      </c>
      <c r="I121" s="33" t="n">
        <v>11</v>
      </c>
      <c r="J121" s="33" t="n">
        <v>2</v>
      </c>
      <c r="K121" s="33" t="n">
        <v>2</v>
      </c>
      <c r="L121" s="36" t="s">
        <v>81</v>
      </c>
      <c r="M121" s="35" t="s">
        <v>153</v>
      </c>
      <c r="N121" s="15" t="s">
        <v>154</v>
      </c>
      <c r="O121" s="15" t="s">
        <v>556</v>
      </c>
    </row>
    <row r="122" customFormat="false" ht="15" hidden="false" customHeight="false" outlineLevel="0" collapsed="false">
      <c r="A122" s="33" t="n">
        <v>121</v>
      </c>
      <c r="B122" s="34" t="s">
        <v>557</v>
      </c>
      <c r="C122" s="34" t="s">
        <v>554</v>
      </c>
      <c r="D122" s="15" t="s">
        <v>94</v>
      </c>
      <c r="E122" s="15" t="s">
        <v>555</v>
      </c>
      <c r="F122" s="33" t="s">
        <v>81</v>
      </c>
      <c r="G122" s="33" t="s">
        <v>151</v>
      </c>
      <c r="H122" s="33" t="s">
        <v>166</v>
      </c>
      <c r="I122" s="33" t="n">
        <v>11</v>
      </c>
      <c r="J122" s="33" t="n">
        <v>2</v>
      </c>
      <c r="K122" s="33" t="n">
        <v>1</v>
      </c>
      <c r="L122" s="35" t="s">
        <v>80</v>
      </c>
      <c r="M122" s="35" t="s">
        <v>153</v>
      </c>
      <c r="N122" s="15" t="s">
        <v>154</v>
      </c>
      <c r="O122" s="15" t="s">
        <v>558</v>
      </c>
    </row>
    <row r="123" customFormat="false" ht="15" hidden="false" customHeight="false" outlineLevel="0" collapsed="false">
      <c r="A123" s="33" t="n">
        <v>122</v>
      </c>
      <c r="B123" s="34" t="s">
        <v>559</v>
      </c>
      <c r="C123" s="34" t="s">
        <v>560</v>
      </c>
      <c r="D123" s="15" t="s">
        <v>94</v>
      </c>
      <c r="E123" s="15" t="s">
        <v>561</v>
      </c>
      <c r="F123" s="33" t="s">
        <v>81</v>
      </c>
      <c r="G123" s="33" t="s">
        <v>182</v>
      </c>
      <c r="H123" s="33" t="s">
        <v>152</v>
      </c>
      <c r="I123" s="33" t="n">
        <v>13</v>
      </c>
      <c r="J123" s="33" t="n">
        <v>1</v>
      </c>
      <c r="K123" s="33" t="n">
        <v>4</v>
      </c>
      <c r="L123" s="36" t="s">
        <v>81</v>
      </c>
      <c r="M123" s="35" t="s">
        <v>153</v>
      </c>
      <c r="N123" s="15" t="s">
        <v>154</v>
      </c>
      <c r="O123" s="15" t="s">
        <v>562</v>
      </c>
    </row>
    <row r="124" customFormat="false" ht="15" hidden="false" customHeight="false" outlineLevel="0" collapsed="false">
      <c r="A124" s="33" t="n">
        <v>123</v>
      </c>
      <c r="B124" s="34" t="s">
        <v>563</v>
      </c>
      <c r="C124" s="34" t="s">
        <v>564</v>
      </c>
      <c r="D124" s="15" t="s">
        <v>97</v>
      </c>
      <c r="E124" s="15" t="s">
        <v>565</v>
      </c>
      <c r="F124" s="33" t="s">
        <v>81</v>
      </c>
      <c r="G124" s="33" t="s">
        <v>151</v>
      </c>
      <c r="H124" s="33" t="s">
        <v>152</v>
      </c>
      <c r="I124" s="33" t="n">
        <v>10</v>
      </c>
      <c r="J124" s="33" t="n">
        <v>2</v>
      </c>
      <c r="K124" s="33" t="n">
        <v>1</v>
      </c>
      <c r="L124" s="35" t="s">
        <v>80</v>
      </c>
      <c r="M124" s="35" t="s">
        <v>153</v>
      </c>
      <c r="N124" s="15" t="s">
        <v>154</v>
      </c>
      <c r="O124" s="15" t="s">
        <v>566</v>
      </c>
    </row>
    <row r="125" customFormat="false" ht="15" hidden="false" customHeight="false" outlineLevel="0" collapsed="false">
      <c r="A125" s="33" t="n">
        <v>124</v>
      </c>
      <c r="B125" s="34" t="s">
        <v>567</v>
      </c>
      <c r="C125" s="34" t="s">
        <v>564</v>
      </c>
      <c r="D125" s="15" t="s">
        <v>97</v>
      </c>
      <c r="E125" s="15" t="s">
        <v>565</v>
      </c>
      <c r="F125" s="33" t="s">
        <v>81</v>
      </c>
      <c r="G125" s="33" t="s">
        <v>151</v>
      </c>
      <c r="H125" s="33" t="s">
        <v>166</v>
      </c>
      <c r="I125" s="33" t="n">
        <v>10</v>
      </c>
      <c r="J125" s="33" t="n">
        <v>3</v>
      </c>
      <c r="K125" s="33" t="n">
        <v>2</v>
      </c>
      <c r="L125" s="36" t="s">
        <v>81</v>
      </c>
      <c r="M125" s="35" t="s">
        <v>153</v>
      </c>
      <c r="N125" s="15" t="s">
        <v>154</v>
      </c>
      <c r="O125" s="15" t="s">
        <v>568</v>
      </c>
    </row>
    <row r="126" customFormat="false" ht="15" hidden="false" customHeight="false" outlineLevel="0" collapsed="false">
      <c r="A126" s="33" t="n">
        <v>125</v>
      </c>
      <c r="B126" s="34" t="s">
        <v>569</v>
      </c>
      <c r="C126" s="34" t="s">
        <v>570</v>
      </c>
      <c r="D126" s="15" t="s">
        <v>94</v>
      </c>
      <c r="E126" s="15" t="s">
        <v>571</v>
      </c>
      <c r="F126" s="33" t="s">
        <v>81</v>
      </c>
      <c r="G126" s="33" t="s">
        <v>151</v>
      </c>
      <c r="H126" s="33" t="s">
        <v>152</v>
      </c>
      <c r="I126" s="33" t="n">
        <v>11</v>
      </c>
      <c r="J126" s="33" t="n">
        <v>2</v>
      </c>
      <c r="K126" s="33" t="n">
        <v>1</v>
      </c>
      <c r="L126" s="35" t="s">
        <v>80</v>
      </c>
      <c r="M126" s="35" t="s">
        <v>153</v>
      </c>
      <c r="N126" s="15" t="s">
        <v>154</v>
      </c>
      <c r="O126" s="15" t="s">
        <v>558</v>
      </c>
    </row>
    <row r="127" customFormat="false" ht="15" hidden="false" customHeight="false" outlineLevel="0" collapsed="false">
      <c r="A127" s="33" t="n">
        <v>126</v>
      </c>
      <c r="B127" s="34" t="s">
        <v>125</v>
      </c>
      <c r="C127" s="34" t="s">
        <v>572</v>
      </c>
      <c r="D127" s="15" t="s">
        <v>100</v>
      </c>
      <c r="E127" s="15" t="s">
        <v>126</v>
      </c>
      <c r="F127" s="33" t="s">
        <v>81</v>
      </c>
      <c r="G127" s="33" t="s">
        <v>290</v>
      </c>
      <c r="H127" s="33" t="s">
        <v>152</v>
      </c>
      <c r="I127" s="33" t="n">
        <v>11</v>
      </c>
      <c r="J127" s="33" t="n">
        <v>2</v>
      </c>
      <c r="K127" s="33" t="n">
        <v>4</v>
      </c>
      <c r="L127" s="36" t="s">
        <v>81</v>
      </c>
      <c r="M127" s="37" t="s">
        <v>217</v>
      </c>
      <c r="N127" s="15" t="s">
        <v>291</v>
      </c>
      <c r="O127" s="15" t="s">
        <v>573</v>
      </c>
    </row>
    <row r="128" customFormat="false" ht="15" hidden="false" customHeight="false" outlineLevel="0" collapsed="false">
      <c r="A128" s="33" t="n">
        <v>127</v>
      </c>
      <c r="B128" s="34" t="s">
        <v>574</v>
      </c>
      <c r="C128" s="34" t="s">
        <v>575</v>
      </c>
      <c r="D128" s="15" t="s">
        <v>98</v>
      </c>
      <c r="E128" s="15" t="s">
        <v>576</v>
      </c>
      <c r="F128" s="33" t="s">
        <v>81</v>
      </c>
      <c r="G128" s="33" t="s">
        <v>182</v>
      </c>
      <c r="H128" s="33" t="s">
        <v>152</v>
      </c>
      <c r="I128" s="33" t="n">
        <v>12</v>
      </c>
      <c r="J128" s="33" t="n">
        <v>1</v>
      </c>
      <c r="K128" s="33" t="n">
        <v>6</v>
      </c>
      <c r="L128" s="37" t="s">
        <v>82</v>
      </c>
      <c r="M128" s="35" t="s">
        <v>153</v>
      </c>
      <c r="N128" s="15" t="s">
        <v>232</v>
      </c>
      <c r="O128" s="15" t="s">
        <v>577</v>
      </c>
    </row>
    <row r="129" customFormat="false" ht="15" hidden="false" customHeight="false" outlineLevel="0" collapsed="false">
      <c r="A129" s="33" t="n">
        <v>128</v>
      </c>
      <c r="B129" s="34" t="s">
        <v>578</v>
      </c>
      <c r="C129" s="34" t="s">
        <v>579</v>
      </c>
      <c r="D129" s="15" t="s">
        <v>98</v>
      </c>
      <c r="E129" s="15" t="s">
        <v>580</v>
      </c>
      <c r="F129" s="33" t="s">
        <v>175</v>
      </c>
      <c r="G129" s="33" t="s">
        <v>182</v>
      </c>
      <c r="H129" s="33" t="s">
        <v>152</v>
      </c>
      <c r="I129" s="33" t="n">
        <v>13</v>
      </c>
      <c r="J129" s="33" t="n">
        <v>2</v>
      </c>
      <c r="K129" s="33" t="n">
        <v>6</v>
      </c>
      <c r="L129" s="37" t="s">
        <v>82</v>
      </c>
      <c r="M129" s="35" t="s">
        <v>153</v>
      </c>
      <c r="N129" s="15" t="s">
        <v>232</v>
      </c>
      <c r="O129" s="15" t="s">
        <v>581</v>
      </c>
    </row>
    <row r="130" customFormat="false" ht="15" hidden="false" customHeight="false" outlineLevel="0" collapsed="false">
      <c r="A130" s="33" t="n">
        <v>129</v>
      </c>
      <c r="B130" s="34" t="s">
        <v>582</v>
      </c>
      <c r="C130" s="34" t="s">
        <v>583</v>
      </c>
      <c r="D130" s="15" t="s">
        <v>98</v>
      </c>
      <c r="E130" s="15" t="s">
        <v>584</v>
      </c>
      <c r="F130" s="33" t="s">
        <v>81</v>
      </c>
      <c r="G130" s="33" t="s">
        <v>182</v>
      </c>
      <c r="H130" s="33" t="s">
        <v>152</v>
      </c>
      <c r="I130" s="33" t="n">
        <v>12</v>
      </c>
      <c r="J130" s="33" t="n">
        <v>1</v>
      </c>
      <c r="K130" s="33" t="n">
        <v>6</v>
      </c>
      <c r="L130" s="37" t="s">
        <v>82</v>
      </c>
      <c r="M130" s="35" t="s">
        <v>153</v>
      </c>
      <c r="N130" s="15" t="s">
        <v>232</v>
      </c>
      <c r="O130" s="15" t="s">
        <v>577</v>
      </c>
    </row>
    <row r="131" customFormat="false" ht="15" hidden="false" customHeight="false" outlineLevel="0" collapsed="false">
      <c r="A131" s="33" t="n">
        <v>130</v>
      </c>
      <c r="B131" s="34" t="s">
        <v>585</v>
      </c>
      <c r="C131" s="34" t="s">
        <v>586</v>
      </c>
      <c r="D131" s="15" t="s">
        <v>96</v>
      </c>
      <c r="E131" s="15" t="s">
        <v>587</v>
      </c>
      <c r="F131" s="33" t="s">
        <v>81</v>
      </c>
      <c r="G131" s="33" t="s">
        <v>151</v>
      </c>
      <c r="H131" s="33" t="s">
        <v>152</v>
      </c>
      <c r="I131" s="33" t="n">
        <v>12</v>
      </c>
      <c r="J131" s="33" t="n">
        <v>1</v>
      </c>
      <c r="K131" s="33" t="n">
        <v>2</v>
      </c>
      <c r="L131" s="36" t="s">
        <v>81</v>
      </c>
      <c r="M131" s="35" t="s">
        <v>153</v>
      </c>
      <c r="N131" s="15" t="s">
        <v>154</v>
      </c>
      <c r="O131" s="15" t="s">
        <v>334</v>
      </c>
    </row>
    <row r="132" customFormat="false" ht="15" hidden="false" customHeight="false" outlineLevel="0" collapsed="false">
      <c r="A132" s="33" t="n">
        <v>131</v>
      </c>
      <c r="B132" s="34" t="s">
        <v>588</v>
      </c>
      <c r="C132" s="34" t="s">
        <v>589</v>
      </c>
      <c r="D132" s="15" t="s">
        <v>97</v>
      </c>
      <c r="E132" s="15" t="s">
        <v>590</v>
      </c>
      <c r="F132" s="33" t="s">
        <v>175</v>
      </c>
      <c r="G132" s="33" t="s">
        <v>151</v>
      </c>
      <c r="H132" s="33" t="s">
        <v>152</v>
      </c>
      <c r="I132" s="33" t="n">
        <v>11</v>
      </c>
      <c r="J132" s="33" t="n">
        <v>0</v>
      </c>
      <c r="K132" s="33" t="n">
        <v>1</v>
      </c>
      <c r="L132" s="35" t="s">
        <v>80</v>
      </c>
      <c r="M132" s="35" t="s">
        <v>153</v>
      </c>
      <c r="N132" s="15" t="s">
        <v>154</v>
      </c>
      <c r="O132" s="15" t="s">
        <v>391</v>
      </c>
    </row>
    <row r="133" customFormat="false" ht="15" hidden="false" customHeight="false" outlineLevel="0" collapsed="false">
      <c r="A133" s="33" t="n">
        <v>132</v>
      </c>
      <c r="B133" s="34" t="s">
        <v>591</v>
      </c>
      <c r="C133" s="34" t="s">
        <v>589</v>
      </c>
      <c r="D133" s="15" t="s">
        <v>97</v>
      </c>
      <c r="E133" s="15" t="s">
        <v>590</v>
      </c>
      <c r="F133" s="33" t="s">
        <v>175</v>
      </c>
      <c r="G133" s="33" t="s">
        <v>151</v>
      </c>
      <c r="H133" s="33" t="s">
        <v>166</v>
      </c>
      <c r="I133" s="33" t="n">
        <v>11</v>
      </c>
      <c r="J133" s="33" t="n">
        <v>2</v>
      </c>
      <c r="K133" s="33" t="n">
        <v>1</v>
      </c>
      <c r="L133" s="35" t="s">
        <v>80</v>
      </c>
      <c r="M133" s="35" t="s">
        <v>153</v>
      </c>
      <c r="N133" s="15" t="s">
        <v>154</v>
      </c>
      <c r="O133" s="15" t="s">
        <v>558</v>
      </c>
    </row>
    <row r="134" customFormat="false" ht="15" hidden="false" customHeight="false" outlineLevel="0" collapsed="false">
      <c r="A134" s="33" t="n">
        <v>133</v>
      </c>
      <c r="B134" s="34" t="s">
        <v>127</v>
      </c>
      <c r="C134" s="34" t="s">
        <v>592</v>
      </c>
      <c r="D134" s="15" t="s">
        <v>102</v>
      </c>
      <c r="E134" s="15" t="s">
        <v>128</v>
      </c>
      <c r="F134" s="33" t="s">
        <v>81</v>
      </c>
      <c r="G134" s="33" t="s">
        <v>182</v>
      </c>
      <c r="H134" s="33" t="s">
        <v>152</v>
      </c>
      <c r="I134" s="33" t="n">
        <v>12</v>
      </c>
      <c r="J134" s="33" t="n">
        <v>1</v>
      </c>
      <c r="K134" s="33" t="n">
        <v>3</v>
      </c>
      <c r="L134" s="36" t="s">
        <v>81</v>
      </c>
      <c r="M134" s="37" t="s">
        <v>217</v>
      </c>
      <c r="N134" s="15" t="s">
        <v>593</v>
      </c>
      <c r="O134" s="15" t="s">
        <v>594</v>
      </c>
    </row>
    <row r="135" customFormat="false" ht="15" hidden="false" customHeight="false" outlineLevel="0" collapsed="false">
      <c r="A135" s="33" t="n">
        <v>134</v>
      </c>
      <c r="B135" s="34" t="s">
        <v>595</v>
      </c>
      <c r="C135" s="34" t="s">
        <v>596</v>
      </c>
      <c r="D135" s="15" t="s">
        <v>94</v>
      </c>
      <c r="E135" s="15" t="s">
        <v>597</v>
      </c>
      <c r="F135" s="33" t="s">
        <v>81</v>
      </c>
      <c r="G135" s="33" t="s">
        <v>151</v>
      </c>
      <c r="H135" s="33" t="s">
        <v>152</v>
      </c>
      <c r="I135" s="33" t="n">
        <v>12</v>
      </c>
      <c r="J135" s="33" t="n">
        <v>2</v>
      </c>
      <c r="K135" s="33" t="n">
        <v>7</v>
      </c>
      <c r="L135" s="37" t="s">
        <v>82</v>
      </c>
      <c r="M135" s="35" t="s">
        <v>153</v>
      </c>
      <c r="N135" s="15" t="s">
        <v>154</v>
      </c>
      <c r="O135" s="15" t="s">
        <v>598</v>
      </c>
    </row>
    <row r="136" customFormat="false" ht="15" hidden="false" customHeight="false" outlineLevel="0" collapsed="false">
      <c r="A136" s="33" t="n">
        <v>135</v>
      </c>
      <c r="B136" s="34" t="s">
        <v>130</v>
      </c>
      <c r="C136" s="34" t="s">
        <v>599</v>
      </c>
      <c r="D136" s="15" t="s">
        <v>102</v>
      </c>
      <c r="E136" s="15" t="s">
        <v>131</v>
      </c>
      <c r="F136" s="33" t="s">
        <v>81</v>
      </c>
      <c r="G136" s="33" t="s">
        <v>290</v>
      </c>
      <c r="H136" s="33" t="s">
        <v>152</v>
      </c>
      <c r="I136" s="33" t="n">
        <v>11</v>
      </c>
      <c r="J136" s="33" t="n">
        <v>1</v>
      </c>
      <c r="K136" s="33" t="n">
        <v>5</v>
      </c>
      <c r="L136" s="37" t="s">
        <v>82</v>
      </c>
      <c r="M136" s="37" t="s">
        <v>217</v>
      </c>
      <c r="N136" s="15" t="s">
        <v>291</v>
      </c>
      <c r="O136" s="15" t="s">
        <v>600</v>
      </c>
    </row>
    <row r="137" customFormat="false" ht="15" hidden="false" customHeight="false" outlineLevel="0" collapsed="false">
      <c r="A137" s="33" t="n">
        <v>136</v>
      </c>
      <c r="B137" s="34" t="s">
        <v>601</v>
      </c>
      <c r="C137" s="34" t="s">
        <v>602</v>
      </c>
      <c r="D137" s="15" t="s">
        <v>93</v>
      </c>
      <c r="E137" s="15" t="s">
        <v>603</v>
      </c>
      <c r="F137" s="33" t="s">
        <v>175</v>
      </c>
      <c r="G137" s="33" t="s">
        <v>151</v>
      </c>
      <c r="H137" s="33" t="s">
        <v>152</v>
      </c>
      <c r="I137" s="33" t="n">
        <v>11</v>
      </c>
      <c r="J137" s="33" t="n">
        <v>0</v>
      </c>
      <c r="K137" s="33" t="n">
        <v>1</v>
      </c>
      <c r="L137" s="35" t="s">
        <v>80</v>
      </c>
      <c r="M137" s="35" t="s">
        <v>153</v>
      </c>
      <c r="N137" s="15" t="s">
        <v>154</v>
      </c>
      <c r="O137" s="15" t="s">
        <v>391</v>
      </c>
    </row>
    <row r="138" customFormat="false" ht="15" hidden="false" customHeight="false" outlineLevel="0" collapsed="false">
      <c r="A138" s="33" t="n">
        <v>137</v>
      </c>
      <c r="B138" s="34" t="s">
        <v>604</v>
      </c>
      <c r="C138" s="34" t="s">
        <v>602</v>
      </c>
      <c r="D138" s="15" t="s">
        <v>93</v>
      </c>
      <c r="E138" s="15" t="s">
        <v>603</v>
      </c>
      <c r="F138" s="33" t="s">
        <v>175</v>
      </c>
      <c r="G138" s="33" t="s">
        <v>151</v>
      </c>
      <c r="H138" s="33" t="s">
        <v>166</v>
      </c>
      <c r="I138" s="33" t="n">
        <v>6</v>
      </c>
      <c r="J138" s="33" t="n">
        <v>1</v>
      </c>
      <c r="K138" s="33" t="n">
        <v>-1</v>
      </c>
      <c r="L138" s="35" t="s">
        <v>80</v>
      </c>
      <c r="M138" s="35" t="s">
        <v>153</v>
      </c>
      <c r="N138" s="15" t="s">
        <v>154</v>
      </c>
      <c r="O138" s="15" t="s">
        <v>167</v>
      </c>
    </row>
    <row r="139" customFormat="false" ht="15" hidden="false" customHeight="false" outlineLevel="0" collapsed="false">
      <c r="A139" s="33" t="n">
        <v>138</v>
      </c>
      <c r="B139" s="34" t="s">
        <v>605</v>
      </c>
      <c r="C139" s="34" t="s">
        <v>606</v>
      </c>
      <c r="D139" s="15" t="s">
        <v>101</v>
      </c>
      <c r="E139" s="15" t="s">
        <v>607</v>
      </c>
      <c r="F139" s="33" t="s">
        <v>81</v>
      </c>
      <c r="G139" s="33" t="s">
        <v>151</v>
      </c>
      <c r="H139" s="33" t="s">
        <v>152</v>
      </c>
      <c r="I139" s="33" t="n">
        <v>6</v>
      </c>
      <c r="J139" s="33" t="n">
        <v>2</v>
      </c>
      <c r="K139" s="33" t="n">
        <v>2</v>
      </c>
      <c r="L139" s="36" t="s">
        <v>81</v>
      </c>
      <c r="M139" s="35" t="s">
        <v>153</v>
      </c>
      <c r="N139" s="15" t="s">
        <v>154</v>
      </c>
      <c r="O139" s="15" t="s">
        <v>608</v>
      </c>
    </row>
    <row r="140" customFormat="false" ht="15" hidden="false" customHeight="false" outlineLevel="0" collapsed="false">
      <c r="A140" s="33" t="n">
        <v>139</v>
      </c>
      <c r="B140" s="34" t="s">
        <v>132</v>
      </c>
      <c r="C140" s="34" t="s">
        <v>609</v>
      </c>
      <c r="D140" s="15" t="s">
        <v>100</v>
      </c>
      <c r="E140" s="15" t="s">
        <v>133</v>
      </c>
      <c r="F140" s="33" t="s">
        <v>81</v>
      </c>
      <c r="G140" s="33" t="s">
        <v>290</v>
      </c>
      <c r="H140" s="33" t="s">
        <v>152</v>
      </c>
      <c r="I140" s="33" t="n">
        <v>6</v>
      </c>
      <c r="J140" s="33" t="n">
        <v>2</v>
      </c>
      <c r="K140" s="33" t="n">
        <v>4</v>
      </c>
      <c r="L140" s="36" t="s">
        <v>81</v>
      </c>
      <c r="M140" s="37" t="s">
        <v>217</v>
      </c>
      <c r="N140" s="15" t="s">
        <v>218</v>
      </c>
      <c r="O140" s="15" t="s">
        <v>610</v>
      </c>
    </row>
    <row r="141" customFormat="false" ht="15" hidden="false" customHeight="false" outlineLevel="0" collapsed="false">
      <c r="A141" s="33" t="n">
        <v>140</v>
      </c>
      <c r="B141" s="34" t="s">
        <v>611</v>
      </c>
      <c r="C141" s="34" t="s">
        <v>612</v>
      </c>
      <c r="D141" s="15" t="s">
        <v>92</v>
      </c>
      <c r="E141" s="15" t="s">
        <v>613</v>
      </c>
      <c r="F141" s="33" t="s">
        <v>81</v>
      </c>
      <c r="G141" s="33" t="s">
        <v>151</v>
      </c>
      <c r="H141" s="33" t="s">
        <v>152</v>
      </c>
      <c r="I141" s="33" t="n">
        <v>6</v>
      </c>
      <c r="J141" s="33" t="n">
        <v>4</v>
      </c>
      <c r="K141" s="33" t="n">
        <v>2</v>
      </c>
      <c r="L141" s="36" t="s">
        <v>81</v>
      </c>
      <c r="M141" s="35" t="s">
        <v>153</v>
      </c>
      <c r="N141" s="15" t="s">
        <v>154</v>
      </c>
      <c r="O141" s="15" t="s">
        <v>614</v>
      </c>
    </row>
    <row r="142" customFormat="false" ht="15" hidden="false" customHeight="false" outlineLevel="0" collapsed="false">
      <c r="A142" s="33" t="n">
        <v>141</v>
      </c>
      <c r="B142" s="34" t="s">
        <v>615</v>
      </c>
      <c r="C142" s="34" t="s">
        <v>616</v>
      </c>
      <c r="D142" s="15" t="s">
        <v>97</v>
      </c>
      <c r="E142" s="15" t="s">
        <v>617</v>
      </c>
      <c r="F142" s="33" t="s">
        <v>175</v>
      </c>
      <c r="G142" s="33" t="s">
        <v>151</v>
      </c>
      <c r="H142" s="33" t="s">
        <v>152</v>
      </c>
      <c r="I142" s="33" t="n">
        <v>6</v>
      </c>
      <c r="J142" s="33" t="n">
        <v>2</v>
      </c>
      <c r="K142" s="33" t="n">
        <v>1</v>
      </c>
      <c r="L142" s="35" t="s">
        <v>80</v>
      </c>
      <c r="M142" s="35" t="s">
        <v>153</v>
      </c>
      <c r="N142" s="15" t="s">
        <v>154</v>
      </c>
      <c r="O142" s="15" t="s">
        <v>618</v>
      </c>
    </row>
    <row r="143" customFormat="false" ht="15" hidden="false" customHeight="false" outlineLevel="0" collapsed="false">
      <c r="A143" s="33" t="n">
        <v>142</v>
      </c>
      <c r="B143" s="34" t="s">
        <v>134</v>
      </c>
      <c r="C143" s="34" t="s">
        <v>619</v>
      </c>
      <c r="D143" s="15" t="s">
        <v>100</v>
      </c>
      <c r="E143" s="15" t="s">
        <v>135</v>
      </c>
      <c r="F143" s="33" t="s">
        <v>81</v>
      </c>
      <c r="G143" s="33" t="s">
        <v>151</v>
      </c>
      <c r="H143" s="33" t="s">
        <v>152</v>
      </c>
      <c r="I143" s="33" t="n">
        <v>6</v>
      </c>
      <c r="J143" s="33" t="n">
        <v>3</v>
      </c>
      <c r="K143" s="33" t="n">
        <v>2</v>
      </c>
      <c r="L143" s="36" t="s">
        <v>81</v>
      </c>
      <c r="M143" s="37" t="s">
        <v>217</v>
      </c>
      <c r="N143" s="15" t="s">
        <v>218</v>
      </c>
      <c r="O143" s="15" t="s">
        <v>620</v>
      </c>
    </row>
    <row r="144" customFormat="false" ht="15" hidden="false" customHeight="false" outlineLevel="0" collapsed="false">
      <c r="A144" s="33" t="n">
        <v>143</v>
      </c>
      <c r="B144" s="34" t="s">
        <v>621</v>
      </c>
      <c r="C144" s="34" t="s">
        <v>622</v>
      </c>
      <c r="D144" s="15" t="s">
        <v>101</v>
      </c>
      <c r="E144" s="15" t="s">
        <v>623</v>
      </c>
      <c r="F144" s="33" t="s">
        <v>81</v>
      </c>
      <c r="G144" s="33" t="s">
        <v>151</v>
      </c>
      <c r="H144" s="33" t="s">
        <v>152</v>
      </c>
      <c r="I144" s="33" t="n">
        <v>6</v>
      </c>
      <c r="J144" s="33" t="n">
        <v>1</v>
      </c>
      <c r="K144" s="33" t="n">
        <v>2</v>
      </c>
      <c r="L144" s="36" t="s">
        <v>81</v>
      </c>
      <c r="M144" s="35" t="s">
        <v>153</v>
      </c>
      <c r="N144" s="15" t="s">
        <v>154</v>
      </c>
      <c r="O144" s="15" t="s">
        <v>624</v>
      </c>
    </row>
    <row r="145" customFormat="false" ht="15" hidden="false" customHeight="false" outlineLevel="0" collapsed="false">
      <c r="A145" s="33" t="n">
        <v>144</v>
      </c>
      <c r="B145" s="34" t="s">
        <v>625</v>
      </c>
      <c r="C145" s="34" t="s">
        <v>622</v>
      </c>
      <c r="D145" s="15" t="s">
        <v>101</v>
      </c>
      <c r="E145" s="15" t="s">
        <v>623</v>
      </c>
      <c r="F145" s="33" t="s">
        <v>81</v>
      </c>
      <c r="G145" s="33" t="s">
        <v>151</v>
      </c>
      <c r="H145" s="33" t="s">
        <v>166</v>
      </c>
      <c r="I145" s="33" t="n">
        <v>6</v>
      </c>
      <c r="J145" s="33" t="n">
        <v>2</v>
      </c>
      <c r="K145" s="33" t="n">
        <v>1</v>
      </c>
      <c r="L145" s="35" t="s">
        <v>80</v>
      </c>
      <c r="M145" s="35" t="s">
        <v>153</v>
      </c>
      <c r="N145" s="15" t="s">
        <v>154</v>
      </c>
      <c r="O145" s="15" t="s">
        <v>626</v>
      </c>
    </row>
    <row r="146" customFormat="false" ht="15" hidden="false" customHeight="false" outlineLevel="0" collapsed="false">
      <c r="A146" s="33" t="n">
        <v>145</v>
      </c>
      <c r="B146" s="34" t="s">
        <v>627</v>
      </c>
      <c r="C146" s="34" t="s">
        <v>628</v>
      </c>
      <c r="D146" s="15" t="s">
        <v>97</v>
      </c>
      <c r="E146" s="15" t="s">
        <v>629</v>
      </c>
      <c r="F146" s="33" t="s">
        <v>175</v>
      </c>
      <c r="G146" s="33" t="s">
        <v>151</v>
      </c>
      <c r="H146" s="33" t="s">
        <v>152</v>
      </c>
      <c r="I146" s="33" t="n">
        <v>6</v>
      </c>
      <c r="J146" s="33" t="n">
        <v>2</v>
      </c>
      <c r="K146" s="33" t="n">
        <v>1</v>
      </c>
      <c r="L146" s="35" t="s">
        <v>80</v>
      </c>
      <c r="M146" s="35" t="s">
        <v>153</v>
      </c>
      <c r="N146" s="15" t="s">
        <v>154</v>
      </c>
      <c r="O146" s="15" t="s">
        <v>630</v>
      </c>
    </row>
    <row r="147" customFormat="false" ht="15" hidden="false" customHeight="false" outlineLevel="0" collapsed="false">
      <c r="A147" s="33" t="n">
        <v>146</v>
      </c>
      <c r="B147" s="34" t="s">
        <v>631</v>
      </c>
      <c r="C147" s="34" t="s">
        <v>632</v>
      </c>
      <c r="D147" s="15" t="s">
        <v>97</v>
      </c>
      <c r="E147" s="15" t="s">
        <v>633</v>
      </c>
      <c r="F147" s="33" t="s">
        <v>175</v>
      </c>
      <c r="G147" s="33" t="s">
        <v>151</v>
      </c>
      <c r="H147" s="33" t="s">
        <v>152</v>
      </c>
      <c r="I147" s="33" t="n">
        <v>6</v>
      </c>
      <c r="J147" s="33" t="n">
        <v>2</v>
      </c>
      <c r="K147" s="33" t="n">
        <v>1</v>
      </c>
      <c r="L147" s="35" t="s">
        <v>80</v>
      </c>
      <c r="M147" s="35" t="s">
        <v>153</v>
      </c>
      <c r="N147" s="15" t="s">
        <v>154</v>
      </c>
      <c r="O147" s="15" t="s">
        <v>634</v>
      </c>
    </row>
    <row r="148" customFormat="false" ht="22.35" hidden="false" customHeight="false" outlineLevel="0" collapsed="false">
      <c r="A148" s="33" t="n">
        <v>147</v>
      </c>
      <c r="B148" s="34" t="s">
        <v>635</v>
      </c>
      <c r="C148" s="34" t="s">
        <v>632</v>
      </c>
      <c r="D148" s="15" t="s">
        <v>97</v>
      </c>
      <c r="E148" s="15" t="s">
        <v>633</v>
      </c>
      <c r="F148" s="33" t="s">
        <v>175</v>
      </c>
      <c r="G148" s="33" t="s">
        <v>151</v>
      </c>
      <c r="H148" s="33" t="s">
        <v>152</v>
      </c>
      <c r="I148" s="33" t="n">
        <v>12</v>
      </c>
      <c r="J148" s="33" t="n">
        <v>3</v>
      </c>
      <c r="K148" s="33" t="n">
        <v>4</v>
      </c>
      <c r="L148" s="36" t="s">
        <v>81</v>
      </c>
      <c r="M148" s="35" t="s">
        <v>153</v>
      </c>
      <c r="N148" s="15" t="s">
        <v>154</v>
      </c>
      <c r="O148" s="15" t="s">
        <v>636</v>
      </c>
    </row>
    <row r="149" customFormat="false" ht="15" hidden="false" customHeight="false" outlineLevel="0" collapsed="false">
      <c r="A149" s="33" t="n">
        <v>148</v>
      </c>
      <c r="B149" s="34" t="s">
        <v>637</v>
      </c>
      <c r="C149" s="34" t="s">
        <v>638</v>
      </c>
      <c r="D149" s="15" t="s">
        <v>97</v>
      </c>
      <c r="E149" s="15" t="s">
        <v>639</v>
      </c>
      <c r="F149" s="33" t="s">
        <v>175</v>
      </c>
      <c r="G149" s="33" t="s">
        <v>151</v>
      </c>
      <c r="H149" s="33" t="s">
        <v>166</v>
      </c>
      <c r="I149" s="33" t="n">
        <v>12</v>
      </c>
      <c r="J149" s="33" t="n">
        <v>2</v>
      </c>
      <c r="K149" s="33" t="n">
        <v>3</v>
      </c>
      <c r="L149" s="36" t="s">
        <v>81</v>
      </c>
      <c r="M149" s="35" t="s">
        <v>153</v>
      </c>
      <c r="N149" s="15" t="s">
        <v>154</v>
      </c>
      <c r="O149" s="15" t="s">
        <v>640</v>
      </c>
    </row>
    <row r="150" customFormat="false" ht="22.35" hidden="false" customHeight="false" outlineLevel="0" collapsed="false">
      <c r="A150" s="33" t="n">
        <v>149</v>
      </c>
      <c r="B150" s="34" t="s">
        <v>641</v>
      </c>
      <c r="C150" s="34" t="s">
        <v>642</v>
      </c>
      <c r="D150" s="15" t="s">
        <v>93</v>
      </c>
      <c r="E150" s="15" t="s">
        <v>643</v>
      </c>
      <c r="F150" s="33" t="s">
        <v>175</v>
      </c>
      <c r="G150" s="33" t="s">
        <v>151</v>
      </c>
      <c r="H150" s="33" t="s">
        <v>152</v>
      </c>
      <c r="I150" s="33" t="n">
        <v>13</v>
      </c>
      <c r="J150" s="33" t="n">
        <v>4</v>
      </c>
      <c r="K150" s="33" t="n">
        <v>6</v>
      </c>
      <c r="L150" s="37" t="s">
        <v>82</v>
      </c>
      <c r="M150" s="35" t="s">
        <v>153</v>
      </c>
      <c r="N150" s="15" t="s">
        <v>154</v>
      </c>
      <c r="O150" s="15" t="s">
        <v>644</v>
      </c>
    </row>
    <row r="151" customFormat="false" ht="22.35" hidden="false" customHeight="false" outlineLevel="0" collapsed="false">
      <c r="A151" s="33" t="n">
        <v>150</v>
      </c>
      <c r="B151" s="34" t="s">
        <v>645</v>
      </c>
      <c r="C151" s="34" t="s">
        <v>646</v>
      </c>
      <c r="D151" s="15" t="s">
        <v>93</v>
      </c>
      <c r="E151" s="15" t="s">
        <v>647</v>
      </c>
      <c r="F151" s="33" t="s">
        <v>175</v>
      </c>
      <c r="G151" s="33" t="s">
        <v>151</v>
      </c>
      <c r="H151" s="33" t="s">
        <v>152</v>
      </c>
      <c r="I151" s="33" t="n">
        <v>12</v>
      </c>
      <c r="J151" s="33" t="n">
        <v>3</v>
      </c>
      <c r="K151" s="33" t="n">
        <v>5</v>
      </c>
      <c r="L151" s="37" t="s">
        <v>82</v>
      </c>
      <c r="M151" s="35" t="s">
        <v>153</v>
      </c>
      <c r="N151" s="15" t="s">
        <v>154</v>
      </c>
      <c r="O151" s="15" t="s">
        <v>648</v>
      </c>
    </row>
    <row r="152" customFormat="false" ht="22.35" hidden="false" customHeight="false" outlineLevel="0" collapsed="false">
      <c r="A152" s="33" t="n">
        <v>151</v>
      </c>
      <c r="B152" s="34" t="s">
        <v>649</v>
      </c>
      <c r="C152" s="34" t="s">
        <v>650</v>
      </c>
      <c r="D152" s="15" t="s">
        <v>93</v>
      </c>
      <c r="E152" s="15" t="s">
        <v>651</v>
      </c>
      <c r="F152" s="33" t="s">
        <v>175</v>
      </c>
      <c r="G152" s="33" t="s">
        <v>151</v>
      </c>
      <c r="H152" s="33" t="s">
        <v>152</v>
      </c>
      <c r="I152" s="33" t="n">
        <v>12</v>
      </c>
      <c r="J152" s="33" t="n">
        <v>1</v>
      </c>
      <c r="K152" s="33" t="n">
        <v>3</v>
      </c>
      <c r="L152" s="36" t="s">
        <v>81</v>
      </c>
      <c r="M152" s="35" t="s">
        <v>153</v>
      </c>
      <c r="N152" s="15" t="s">
        <v>154</v>
      </c>
      <c r="O152" s="15" t="s">
        <v>652</v>
      </c>
    </row>
    <row r="153" customFormat="false" ht="22.35" hidden="false" customHeight="false" outlineLevel="0" collapsed="false">
      <c r="A153" s="33" t="n">
        <v>152</v>
      </c>
      <c r="B153" s="34" t="s">
        <v>653</v>
      </c>
      <c r="C153" s="34" t="s">
        <v>654</v>
      </c>
      <c r="D153" s="15" t="s">
        <v>94</v>
      </c>
      <c r="E153" s="15" t="s">
        <v>655</v>
      </c>
      <c r="F153" s="33" t="s">
        <v>175</v>
      </c>
      <c r="G153" s="33" t="s">
        <v>151</v>
      </c>
      <c r="H153" s="33" t="s">
        <v>152</v>
      </c>
      <c r="I153" s="33" t="n">
        <v>9</v>
      </c>
      <c r="J153" s="33" t="n">
        <v>2</v>
      </c>
      <c r="K153" s="33" t="n">
        <v>5</v>
      </c>
      <c r="L153" s="37" t="s">
        <v>82</v>
      </c>
      <c r="M153" s="35" t="s">
        <v>153</v>
      </c>
      <c r="N153" s="15" t="s">
        <v>154</v>
      </c>
      <c r="O153" s="15" t="s">
        <v>656</v>
      </c>
    </row>
  </sheetData>
  <autoFilter ref="A1:O153"/>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54"/>
    <col collapsed="false" customWidth="true" hidden="false" outlineLevel="0" max="4" min="4" style="0" width="18"/>
    <col collapsed="false" customWidth="true" hidden="false" outlineLevel="0" max="5" min="5" style="0" width="20"/>
    <col collapsed="false" customWidth="true" hidden="false" outlineLevel="0" max="6" min="6" style="0" width="18"/>
    <col collapsed="false" customWidth="true" hidden="false" outlineLevel="0" max="7" min="7" style="0" width="14"/>
    <col collapsed="false" customWidth="true" hidden="false" outlineLevel="0" max="8" min="8" style="0" width="3"/>
  </cols>
  <sheetData>
    <row r="2" customFormat="false" ht="27.75" hidden="false" customHeight="true" outlineLevel="0" collapsed="false">
      <c r="B2" s="18" t="s">
        <v>657</v>
      </c>
      <c r="C2" s="18"/>
      <c r="D2" s="18"/>
      <c r="E2" s="18"/>
      <c r="F2" s="18"/>
      <c r="G2" s="18"/>
    </row>
    <row r="3" customFormat="false" ht="25.5" hidden="false" customHeight="true" outlineLevel="0" collapsed="false">
      <c r="B3" s="19" t="s">
        <v>658</v>
      </c>
      <c r="C3" s="19"/>
      <c r="D3" s="19"/>
      <c r="E3" s="19"/>
      <c r="F3" s="19"/>
      <c r="G3" s="19"/>
    </row>
    <row r="5" customFormat="false" ht="19.5" hidden="false" customHeight="true" outlineLevel="0" collapsed="false">
      <c r="B5" s="3" t="s">
        <v>659</v>
      </c>
      <c r="C5" s="3"/>
      <c r="D5" s="3"/>
      <c r="E5" s="3"/>
      <c r="F5" s="3"/>
      <c r="G5" s="3"/>
    </row>
    <row r="6" customFormat="false" ht="25.5" hidden="false" customHeight="true" outlineLevel="0" collapsed="false">
      <c r="B6" s="25" t="s">
        <v>660</v>
      </c>
      <c r="C6" s="25" t="s">
        <v>661</v>
      </c>
      <c r="D6" s="25" t="s">
        <v>662</v>
      </c>
      <c r="E6" s="25" t="s">
        <v>663</v>
      </c>
    </row>
    <row r="7" customFormat="false" ht="48" hidden="false" customHeight="true" outlineLevel="0" collapsed="false">
      <c r="B7" s="29" t="s">
        <v>664</v>
      </c>
      <c r="C7" s="15" t="s">
        <v>665</v>
      </c>
      <c r="D7" s="38" t="s">
        <v>666</v>
      </c>
      <c r="E7" s="39" t="s">
        <v>667</v>
      </c>
    </row>
    <row r="8" customFormat="false" ht="48" hidden="false" customHeight="true" outlineLevel="0" collapsed="false">
      <c r="B8" s="29" t="s">
        <v>668</v>
      </c>
      <c r="C8" s="15" t="s">
        <v>669</v>
      </c>
      <c r="D8" s="38" t="s">
        <v>670</v>
      </c>
      <c r="E8" s="39" t="s">
        <v>667</v>
      </c>
    </row>
    <row r="9" customFormat="false" ht="48" hidden="false" customHeight="true" outlineLevel="0" collapsed="false">
      <c r="B9" s="29" t="s">
        <v>671</v>
      </c>
      <c r="C9" s="15" t="s">
        <v>672</v>
      </c>
      <c r="D9" s="38" t="s">
        <v>673</v>
      </c>
      <c r="E9" s="39" t="s">
        <v>674</v>
      </c>
    </row>
    <row r="10" customFormat="false" ht="48" hidden="false" customHeight="true" outlineLevel="0" collapsed="false">
      <c r="B10" s="29" t="s">
        <v>675</v>
      </c>
      <c r="C10" s="15" t="s">
        <v>676</v>
      </c>
      <c r="D10" s="38" t="s">
        <v>677</v>
      </c>
      <c r="E10" s="39" t="s">
        <v>678</v>
      </c>
    </row>
    <row r="11" customFormat="false" ht="48" hidden="false" customHeight="true" outlineLevel="0" collapsed="false">
      <c r="B11" s="29" t="s">
        <v>679</v>
      </c>
      <c r="C11" s="15" t="s">
        <v>680</v>
      </c>
      <c r="D11" s="38" t="s">
        <v>681</v>
      </c>
      <c r="E11" s="39" t="s">
        <v>682</v>
      </c>
    </row>
    <row r="12" customFormat="false" ht="48" hidden="false" customHeight="true" outlineLevel="0" collapsed="false">
      <c r="B12" s="29" t="s">
        <v>683</v>
      </c>
      <c r="C12" s="15" t="s">
        <v>684</v>
      </c>
      <c r="D12" s="38" t="s">
        <v>685</v>
      </c>
      <c r="E12" s="39" t="s">
        <v>667</v>
      </c>
    </row>
    <row r="13" customFormat="false" ht="48" hidden="false" customHeight="true" outlineLevel="0" collapsed="false">
      <c r="B13" s="29" t="s">
        <v>686</v>
      </c>
      <c r="C13" s="15" t="s">
        <v>687</v>
      </c>
      <c r="D13" s="38" t="s">
        <v>688</v>
      </c>
      <c r="E13" s="39" t="s">
        <v>667</v>
      </c>
    </row>
    <row r="14" customFormat="false" ht="48" hidden="false" customHeight="true" outlineLevel="0" collapsed="false">
      <c r="B14" s="29" t="s">
        <v>689</v>
      </c>
      <c r="C14" s="15" t="s">
        <v>690</v>
      </c>
      <c r="D14" s="38" t="s">
        <v>691</v>
      </c>
      <c r="E14" s="39" t="s">
        <v>692</v>
      </c>
    </row>
    <row r="15" customFormat="false" ht="15" hidden="false" customHeight="false" outlineLevel="0" collapsed="false">
      <c r="B15" s="40" t="s">
        <v>693</v>
      </c>
      <c r="C15" s="41" t="s">
        <v>694</v>
      </c>
      <c r="D15" s="42" t="s">
        <v>695</v>
      </c>
      <c r="E15" s="43"/>
    </row>
    <row r="17" customFormat="false" ht="19.5" hidden="false" customHeight="true" outlineLevel="0" collapsed="false">
      <c r="B17" s="3" t="s">
        <v>696</v>
      </c>
      <c r="C17" s="3"/>
      <c r="D17" s="3"/>
      <c r="E17" s="3"/>
      <c r="F17" s="3"/>
      <c r="G17" s="3"/>
    </row>
    <row r="18" customFormat="false" ht="25.5" hidden="false" customHeight="true" outlineLevel="0" collapsed="false">
      <c r="B18" s="25" t="s">
        <v>697</v>
      </c>
      <c r="C18" s="25" t="s">
        <v>698</v>
      </c>
      <c r="D18" s="25" t="s">
        <v>699</v>
      </c>
    </row>
    <row r="19" customFormat="false" ht="37.5" hidden="false" customHeight="true" outlineLevel="0" collapsed="false">
      <c r="B19" s="29" t="s">
        <v>700</v>
      </c>
      <c r="C19" s="15" t="s">
        <v>701</v>
      </c>
      <c r="D19" s="15" t="s">
        <v>702</v>
      </c>
      <c r="E19" s="15"/>
    </row>
    <row r="20" customFormat="false" ht="37.5" hidden="false" customHeight="true" outlineLevel="0" collapsed="false">
      <c r="B20" s="29" t="s">
        <v>703</v>
      </c>
      <c r="C20" s="15" t="s">
        <v>704</v>
      </c>
      <c r="D20" s="15" t="s">
        <v>705</v>
      </c>
      <c r="E20" s="15"/>
    </row>
    <row r="21" customFormat="false" ht="37.5" hidden="false" customHeight="true" outlineLevel="0" collapsed="false">
      <c r="B21" s="29" t="s">
        <v>706</v>
      </c>
      <c r="C21" s="15" t="s">
        <v>707</v>
      </c>
      <c r="D21" s="15" t="s">
        <v>708</v>
      </c>
      <c r="E21" s="15"/>
    </row>
    <row r="22" customFormat="false" ht="37.5" hidden="false" customHeight="true" outlineLevel="0" collapsed="false">
      <c r="B22" s="29" t="s">
        <v>709</v>
      </c>
      <c r="C22" s="15" t="s">
        <v>710</v>
      </c>
      <c r="D22" s="15" t="s">
        <v>711</v>
      </c>
      <c r="E22" s="15"/>
    </row>
    <row r="23" customFormat="false" ht="37.5" hidden="false" customHeight="true" outlineLevel="0" collapsed="false">
      <c r="B23" s="29" t="s">
        <v>712</v>
      </c>
      <c r="C23" s="15" t="s">
        <v>713</v>
      </c>
      <c r="D23" s="15" t="s">
        <v>714</v>
      </c>
      <c r="E23" s="15"/>
    </row>
    <row r="24" customFormat="false" ht="37.5" hidden="false" customHeight="true" outlineLevel="0" collapsed="false">
      <c r="B24" s="29" t="s">
        <v>715</v>
      </c>
      <c r="C24" s="15" t="s">
        <v>716</v>
      </c>
      <c r="D24" s="15" t="s">
        <v>717</v>
      </c>
      <c r="E24" s="15"/>
    </row>
    <row r="26" customFormat="false" ht="19.5" hidden="false" customHeight="true" outlineLevel="0" collapsed="false">
      <c r="B26" s="3" t="s">
        <v>718</v>
      </c>
      <c r="C26" s="3"/>
      <c r="D26" s="3"/>
      <c r="E26" s="3"/>
      <c r="F26" s="3"/>
      <c r="G26" s="3"/>
    </row>
    <row r="27" customFormat="false" ht="25.5" hidden="false" customHeight="true" outlineLevel="0" collapsed="false">
      <c r="B27" s="44" t="s">
        <v>719</v>
      </c>
      <c r="D27" s="45" t="n">
        <v>7</v>
      </c>
      <c r="E27" s="19" t="s">
        <v>720</v>
      </c>
      <c r="F27" s="19"/>
      <c r="G27" s="19"/>
    </row>
    <row r="29" customFormat="false" ht="31.5" hidden="false" customHeight="true" outlineLevel="0" collapsed="false">
      <c r="C29" s="25" t="s">
        <v>721</v>
      </c>
      <c r="D29" s="25" t="s">
        <v>722</v>
      </c>
      <c r="E29" s="25" t="s">
        <v>723</v>
      </c>
      <c r="F29" s="25" t="s">
        <v>724</v>
      </c>
      <c r="G29" s="25" t="s">
        <v>725</v>
      </c>
    </row>
    <row r="30" customFormat="false" ht="31.5" hidden="false" customHeight="true" outlineLevel="0" collapsed="false">
      <c r="C30" s="15" t="s">
        <v>726</v>
      </c>
      <c r="D30" s="46" t="n">
        <v>8</v>
      </c>
      <c r="E30" s="47" t="n">
        <v>0.85</v>
      </c>
      <c r="F30" s="48" t="n">
        <f aca="false">D30*(1-E30)</f>
        <v>1.2</v>
      </c>
      <c r="G30" s="49" t="n">
        <f aca="false">F30*$D$27</f>
        <v>8.4</v>
      </c>
    </row>
    <row r="31" customFormat="false" ht="31.5" hidden="false" customHeight="true" outlineLevel="0" collapsed="false">
      <c r="C31" s="15" t="s">
        <v>727</v>
      </c>
      <c r="D31" s="46" t="n">
        <v>7</v>
      </c>
      <c r="E31" s="47" t="n">
        <v>0.1</v>
      </c>
      <c r="F31" s="48" t="n">
        <f aca="false">D31*(1-E31)</f>
        <v>6.3</v>
      </c>
      <c r="G31" s="49" t="n">
        <f aca="false">F31*$D$27</f>
        <v>44.1</v>
      </c>
    </row>
    <row r="32" customFormat="false" ht="31.5" hidden="false" customHeight="true" outlineLevel="0" collapsed="false">
      <c r="C32" s="15" t="s">
        <v>728</v>
      </c>
      <c r="D32" s="46" t="n">
        <v>7</v>
      </c>
      <c r="E32" s="47" t="n">
        <v>0.1</v>
      </c>
      <c r="F32" s="48" t="n">
        <f aca="false">D32*(1-E32)</f>
        <v>6.3</v>
      </c>
      <c r="G32" s="49" t="n">
        <f aca="false">F32*$D$27</f>
        <v>44.1</v>
      </c>
    </row>
    <row r="33" customFormat="false" ht="31.5" hidden="false" customHeight="true" outlineLevel="0" collapsed="false">
      <c r="C33" s="15" t="s">
        <v>729</v>
      </c>
      <c r="D33" s="46" t="n">
        <v>6</v>
      </c>
      <c r="E33" s="47" t="n">
        <v>0.1</v>
      </c>
      <c r="F33" s="48" t="n">
        <f aca="false">D33*(1-E33)</f>
        <v>5.4</v>
      </c>
      <c r="G33" s="49" t="n">
        <f aca="false">F33*$D$27</f>
        <v>37.8</v>
      </c>
    </row>
    <row r="34" customFormat="false" ht="31.5" hidden="false" customHeight="true" outlineLevel="0" collapsed="false">
      <c r="C34" s="15" t="s">
        <v>730</v>
      </c>
      <c r="D34" s="46" t="n">
        <v>5</v>
      </c>
      <c r="E34" s="47" t="n">
        <v>0.1</v>
      </c>
      <c r="F34" s="48" t="n">
        <f aca="false">D34*(1-E34)</f>
        <v>4.5</v>
      </c>
      <c r="G34" s="49" t="n">
        <f aca="false">F34*$D$27</f>
        <v>31.5</v>
      </c>
    </row>
    <row r="35" customFormat="false" ht="31.5" hidden="false" customHeight="true" outlineLevel="0" collapsed="false">
      <c r="C35" s="15" t="s">
        <v>731</v>
      </c>
      <c r="D35" s="46" t="n">
        <v>5</v>
      </c>
      <c r="E35" s="47" t="n">
        <v>0.05</v>
      </c>
      <c r="F35" s="48" t="n">
        <f aca="false">D35*(1-E35)</f>
        <v>4.75</v>
      </c>
      <c r="G35" s="49" t="n">
        <f aca="false">F35*$D$27</f>
        <v>33.25</v>
      </c>
    </row>
    <row r="36" customFormat="false" ht="31.5" hidden="false" customHeight="true" outlineLevel="0" collapsed="false">
      <c r="C36" s="15" t="s">
        <v>732</v>
      </c>
      <c r="D36" s="46" t="n">
        <v>4</v>
      </c>
      <c r="E36" s="47" t="n">
        <v>0.1</v>
      </c>
      <c r="F36" s="48" t="n">
        <f aca="false">D36*(1-E36)</f>
        <v>3.6</v>
      </c>
      <c r="G36" s="49" t="n">
        <f aca="false">F36*$D$27</f>
        <v>25.2</v>
      </c>
    </row>
    <row r="37" customFormat="false" ht="31.5" hidden="false" customHeight="true" outlineLevel="0" collapsed="false">
      <c r="C37" s="15" t="s">
        <v>733</v>
      </c>
      <c r="D37" s="46" t="n">
        <v>3</v>
      </c>
      <c r="E37" s="47" t="n">
        <v>0.8</v>
      </c>
      <c r="F37" s="48" t="n">
        <f aca="false">D37*(1-E37)</f>
        <v>0.6</v>
      </c>
      <c r="G37" s="49" t="n">
        <f aca="false">F37*$D$27</f>
        <v>4.2</v>
      </c>
    </row>
    <row r="38" customFormat="false" ht="31.5" hidden="false" customHeight="true" outlineLevel="0" collapsed="false">
      <c r="C38" s="15" t="s">
        <v>734</v>
      </c>
      <c r="D38" s="46" t="n">
        <v>2</v>
      </c>
      <c r="E38" s="47" t="n">
        <v>0.25</v>
      </c>
      <c r="F38" s="48" t="n">
        <f aca="false">D38*(1-E38)</f>
        <v>1.5</v>
      </c>
      <c r="G38" s="49" t="n">
        <f aca="false">F38*$D$27</f>
        <v>10.5</v>
      </c>
    </row>
    <row r="39" customFormat="false" ht="31.5" hidden="false" customHeight="true" outlineLevel="0" collapsed="false">
      <c r="C39" s="15" t="s">
        <v>735</v>
      </c>
      <c r="D39" s="46" t="n">
        <v>3</v>
      </c>
      <c r="E39" s="47" t="n">
        <v>0.1</v>
      </c>
      <c r="F39" s="48" t="n">
        <f aca="false">D39*(1-E39)</f>
        <v>2.7</v>
      </c>
      <c r="G39" s="49" t="n">
        <f aca="false">F39*$D$27</f>
        <v>18.9</v>
      </c>
    </row>
    <row r="40" customFormat="false" ht="15" hidden="false" customHeight="false" outlineLevel="0" collapsed="false">
      <c r="C40" s="40" t="s">
        <v>83</v>
      </c>
      <c r="D40" s="50" t="n">
        <f aca="false">SUM(D30:D39)</f>
        <v>50</v>
      </c>
      <c r="E40" s="43"/>
      <c r="F40" s="51" t="n">
        <f aca="false">SUM(F30:F39)</f>
        <v>36.85</v>
      </c>
      <c r="G40" s="52" t="n">
        <f aca="false">SUM(G30:G39)</f>
        <v>257.95</v>
      </c>
    </row>
    <row r="42" customFormat="false" ht="43.5" hidden="false" customHeight="true" outlineLevel="0" collapsed="false">
      <c r="B42" s="53" t="s">
        <v>736</v>
      </c>
      <c r="C42" s="19" t="s">
        <v>737</v>
      </c>
      <c r="D42" s="19"/>
      <c r="E42" s="19"/>
      <c r="F42" s="19"/>
      <c r="G42" s="19"/>
    </row>
  </sheetData>
  <mergeCells count="13">
    <mergeCell ref="B2:G2"/>
    <mergeCell ref="B3:G3"/>
    <mergeCell ref="B5:G5"/>
    <mergeCell ref="B17:G17"/>
    <mergeCell ref="D19:E19"/>
    <mergeCell ref="D20:E20"/>
    <mergeCell ref="D21:E21"/>
    <mergeCell ref="D22:E22"/>
    <mergeCell ref="D23:E23"/>
    <mergeCell ref="D24:E24"/>
    <mergeCell ref="B26:G26"/>
    <mergeCell ref="E27:G27"/>
    <mergeCell ref="C42:G42"/>
  </mergeCells>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52"/>
    <col collapsed="false" customWidth="true" hidden="false" outlineLevel="0" max="4" min="4" style="0" width="18"/>
    <col collapsed="false" customWidth="true" hidden="false" outlineLevel="0" max="5" min="5" style="0" width="16"/>
    <col collapsed="false" customWidth="true" hidden="false" outlineLevel="0" max="6" min="6" style="0" width="26"/>
    <col collapsed="false" customWidth="true" hidden="false" outlineLevel="0" max="7" min="7" style="0" width="13"/>
    <col collapsed="false" customWidth="true" hidden="false" outlineLevel="0" max="8" min="8" style="0" width="26"/>
    <col collapsed="false" customWidth="true" hidden="false" outlineLevel="0" max="9" min="9" style="0" width="20"/>
  </cols>
  <sheetData>
    <row r="2" customFormat="false" ht="27.75" hidden="false" customHeight="true" outlineLevel="0" collapsed="false">
      <c r="A2" s="18" t="s">
        <v>738</v>
      </c>
      <c r="B2" s="18"/>
      <c r="C2" s="18"/>
      <c r="D2" s="18"/>
      <c r="E2" s="18"/>
      <c r="F2" s="18"/>
      <c r="G2" s="18"/>
      <c r="H2" s="18"/>
    </row>
    <row r="3" customFormat="false" ht="15" hidden="false" customHeight="false" outlineLevel="0" collapsed="false">
      <c r="A3" s="32" t="s">
        <v>739</v>
      </c>
      <c r="B3" s="32"/>
      <c r="C3" s="32"/>
      <c r="D3" s="32"/>
      <c r="E3" s="32"/>
      <c r="F3" s="32"/>
      <c r="G3" s="32"/>
      <c r="H3" s="32"/>
    </row>
    <row r="5" customFormat="false" ht="15" hidden="false" customHeight="false" outlineLevel="0" collapsed="false">
      <c r="A5" s="54" t="s">
        <v>740</v>
      </c>
    </row>
    <row r="6" customFormat="false" ht="30" hidden="false" customHeight="true" outlineLevel="0" collapsed="false">
      <c r="B6" s="25" t="s">
        <v>741</v>
      </c>
      <c r="C6" s="25" t="s">
        <v>742</v>
      </c>
      <c r="D6" s="25" t="s">
        <v>743</v>
      </c>
      <c r="E6" s="25" t="s">
        <v>79</v>
      </c>
      <c r="F6" s="25" t="s">
        <v>744</v>
      </c>
      <c r="G6" s="25" t="s">
        <v>745</v>
      </c>
      <c r="H6" s="25" t="s">
        <v>746</v>
      </c>
    </row>
    <row r="7" customFormat="false" ht="45.75" hidden="false" customHeight="true" outlineLevel="0" collapsed="false">
      <c r="B7" s="29" t="s">
        <v>747</v>
      </c>
      <c r="C7" s="31" t="s">
        <v>748</v>
      </c>
      <c r="D7" s="55" t="n">
        <f aca="false">H10</f>
        <v>22.9166666666667</v>
      </c>
      <c r="E7" s="30" t="s">
        <v>80</v>
      </c>
      <c r="F7" s="28" t="n">
        <f aca="false">Scope!D12</f>
        <v>34</v>
      </c>
      <c r="G7" s="46" t="n">
        <v>5</v>
      </c>
      <c r="H7" s="49" t="n">
        <f aca="false">F7*G7/60</f>
        <v>2.83333333333333</v>
      </c>
      <c r="I7" s="56" t="s">
        <v>749</v>
      </c>
    </row>
    <row r="8" customFormat="false" ht="15" hidden="false" customHeight="false" outlineLevel="0" collapsed="false">
      <c r="E8" s="30" t="s">
        <v>81</v>
      </c>
      <c r="F8" s="28" t="n">
        <f aca="false">Scope!E12</f>
        <v>89</v>
      </c>
      <c r="G8" s="46" t="n">
        <v>10</v>
      </c>
      <c r="H8" s="49" t="n">
        <f aca="false">F8*G8/60</f>
        <v>14.8333333333333</v>
      </c>
    </row>
    <row r="9" customFormat="false" ht="15" hidden="false" customHeight="false" outlineLevel="0" collapsed="false">
      <c r="E9" s="30" t="s">
        <v>82</v>
      </c>
      <c r="F9" s="28" t="n">
        <f aca="false">Scope!F12</f>
        <v>21</v>
      </c>
      <c r="G9" s="46" t="n">
        <v>15</v>
      </c>
      <c r="H9" s="49" t="n">
        <f aca="false">F9*G9/60</f>
        <v>5.25</v>
      </c>
    </row>
    <row r="10" customFormat="false" ht="15" hidden="false" customHeight="false" outlineLevel="0" collapsed="false">
      <c r="F10" s="21" t="n">
        <f aca="false">SUM(F7:F9)</f>
        <v>144</v>
      </c>
      <c r="G10" s="57" t="s">
        <v>750</v>
      </c>
      <c r="H10" s="55" t="n">
        <f aca="false">SUM(H7:H9)</f>
        <v>22.9166666666667</v>
      </c>
    </row>
    <row r="11" customFormat="false" ht="57.75" hidden="false" customHeight="true" outlineLevel="0" collapsed="false">
      <c r="B11" s="29" t="s">
        <v>751</v>
      </c>
      <c r="C11" s="31" t="s">
        <v>752</v>
      </c>
      <c r="D11" s="45" t="n">
        <v>32</v>
      </c>
      <c r="E11" s="30" t="str">
        <f aca="false">CONCATENATE(D11/8," Days")</f>
        <v>4 Days</v>
      </c>
      <c r="I11" s="56" t="s">
        <v>753</v>
      </c>
    </row>
    <row r="12" customFormat="false" ht="42" hidden="false" customHeight="true" outlineLevel="0" collapsed="false">
      <c r="B12" s="29" t="s">
        <v>754</v>
      </c>
      <c r="C12" s="31" t="s">
        <v>755</v>
      </c>
      <c r="D12" s="55" t="n">
        <f aca="false">'Framework Reuse'!$G$40</f>
        <v>257.95</v>
      </c>
      <c r="E12" s="58" t="s">
        <v>756</v>
      </c>
      <c r="F12" s="58"/>
      <c r="G12" s="58"/>
    </row>
    <row r="13" customFormat="false" ht="66" hidden="false" customHeight="true" outlineLevel="0" collapsed="false">
      <c r="B13" s="29" t="s">
        <v>757</v>
      </c>
      <c r="C13" s="31" t="s">
        <v>758</v>
      </c>
      <c r="D13" s="55" t="n">
        <f aca="false">G17+I17</f>
        <v>544.55873015873</v>
      </c>
      <c r="E13" s="59" t="s">
        <v>80</v>
      </c>
      <c r="F13" s="59" t="s">
        <v>81</v>
      </c>
      <c r="G13" s="59" t="s">
        <v>82</v>
      </c>
    </row>
    <row r="14" customFormat="false" ht="15" hidden="false" customHeight="false" outlineLevel="0" collapsed="false">
      <c r="E14" s="60" t="n">
        <f aca="false">ROUND(1/E15,2)</f>
        <v>0.29</v>
      </c>
      <c r="F14" s="60" t="n">
        <f aca="false">ROUND(1/F15,2)</f>
        <v>0.44</v>
      </c>
      <c r="G14" s="60" t="n">
        <f aca="false">ROUND(1/G15,2)</f>
        <v>0.8</v>
      </c>
      <c r="H14" s="61" t="s">
        <v>759</v>
      </c>
    </row>
    <row r="15" customFormat="false" ht="15" hidden="false" customHeight="false" outlineLevel="0" collapsed="false">
      <c r="E15" s="62" t="n">
        <v>3.5</v>
      </c>
      <c r="F15" s="62" t="n">
        <v>2.25</v>
      </c>
      <c r="G15" s="62" t="n">
        <v>1.25</v>
      </c>
      <c r="H15" s="57" t="s">
        <v>760</v>
      </c>
    </row>
    <row r="16" customFormat="false" ht="15" hidden="false" customHeight="false" outlineLevel="0" collapsed="false">
      <c r="E16" s="49" t="n">
        <f aca="false">$F$7/E15*8</f>
        <v>77.7142857142857</v>
      </c>
      <c r="F16" s="49" t="n">
        <f aca="false">$F$8/F15*8</f>
        <v>316.444444444444</v>
      </c>
      <c r="G16" s="49" t="n">
        <f aca="false">$F$9/G15*8</f>
        <v>134.4</v>
      </c>
      <c r="H16" s="61" t="s">
        <v>725</v>
      </c>
    </row>
    <row r="17" customFormat="false" ht="15" hidden="false" customHeight="false" outlineLevel="0" collapsed="false">
      <c r="F17" s="57" t="s">
        <v>750</v>
      </c>
      <c r="G17" s="55" t="n">
        <f aca="false">SUM(E16:G16)</f>
        <v>528.55873015873</v>
      </c>
      <c r="H17" s="61" t="s">
        <v>761</v>
      </c>
      <c r="I17" s="46" t="n">
        <v>16</v>
      </c>
    </row>
    <row r="18" customFormat="false" ht="49.5" hidden="false" customHeight="true" outlineLevel="0" collapsed="false">
      <c r="B18" s="29" t="s">
        <v>762</v>
      </c>
      <c r="C18" s="31" t="s">
        <v>763</v>
      </c>
      <c r="D18" s="55" t="n">
        <f aca="false">G22</f>
        <v>145.266666666667</v>
      </c>
      <c r="E18" s="59" t="s">
        <v>80</v>
      </c>
      <c r="F18" s="59" t="s">
        <v>81</v>
      </c>
      <c r="G18" s="59" t="s">
        <v>82</v>
      </c>
    </row>
    <row r="19" customFormat="false" ht="15" hidden="false" customHeight="false" outlineLevel="0" collapsed="false">
      <c r="E19" s="60" t="n">
        <f aca="false">ROUND(1/E20,2)</f>
        <v>0.08</v>
      </c>
      <c r="F19" s="60" t="n">
        <f aca="false">ROUND(1/F20,2)</f>
        <v>0.13</v>
      </c>
      <c r="G19" s="60" t="n">
        <f aca="false">ROUND(1/G20,2)</f>
        <v>0.2</v>
      </c>
      <c r="H19" s="61" t="s">
        <v>759</v>
      </c>
    </row>
    <row r="20" customFormat="false" ht="15" hidden="false" customHeight="false" outlineLevel="0" collapsed="false">
      <c r="E20" s="62" t="n">
        <v>12</v>
      </c>
      <c r="F20" s="62" t="n">
        <v>8</v>
      </c>
      <c r="G20" s="62" t="n">
        <v>5</v>
      </c>
      <c r="H20" s="57" t="s">
        <v>760</v>
      </c>
    </row>
    <row r="21" customFormat="false" ht="15" hidden="false" customHeight="false" outlineLevel="0" collapsed="false">
      <c r="E21" s="49" t="n">
        <f aca="false">$F$7/E20*8</f>
        <v>22.6666666666667</v>
      </c>
      <c r="F21" s="49" t="n">
        <f aca="false">$F$8/F20*8</f>
        <v>89</v>
      </c>
      <c r="G21" s="49" t="n">
        <f aca="false">$F$9/G20*8</f>
        <v>33.6</v>
      </c>
      <c r="H21" s="61" t="s">
        <v>725</v>
      </c>
    </row>
    <row r="22" customFormat="false" ht="15" hidden="false" customHeight="false" outlineLevel="0" collapsed="false">
      <c r="F22" s="57" t="s">
        <v>750</v>
      </c>
      <c r="G22" s="55" t="n">
        <f aca="false">SUM(E21:G21)</f>
        <v>145.266666666667</v>
      </c>
    </row>
    <row r="23" customFormat="false" ht="23.85" hidden="false" customHeight="false" outlineLevel="0" collapsed="false">
      <c r="B23" s="29" t="s">
        <v>764</v>
      </c>
      <c r="C23" s="31" t="s">
        <v>765</v>
      </c>
      <c r="D23" s="55" t="n">
        <f aca="false">SUM(D7:D22)*E23</f>
        <v>50.1346031746032</v>
      </c>
      <c r="E23" s="47" t="n">
        <v>0.05</v>
      </c>
      <c r="F23" s="9" t="s">
        <v>766</v>
      </c>
    </row>
    <row r="24" customFormat="false" ht="33.75" hidden="false" customHeight="true" outlineLevel="0" collapsed="false">
      <c r="B24" s="29" t="s">
        <v>767</v>
      </c>
      <c r="C24" s="31" t="s">
        <v>768</v>
      </c>
      <c r="D24" s="55" t="n">
        <f aca="false">SUM(D7:D23)*E24</f>
        <v>52.6413333333333</v>
      </c>
      <c r="E24" s="47" t="n">
        <v>0.05</v>
      </c>
      <c r="F24" s="9" t="s">
        <v>769</v>
      </c>
    </row>
    <row r="25" customFormat="false" ht="15" hidden="false" customHeight="false" outlineLevel="0" collapsed="false">
      <c r="C25" s="63" t="s">
        <v>770</v>
      </c>
      <c r="D25" s="64" t="n">
        <f aca="false">SUM(D7:D24)</f>
        <v>1105.468</v>
      </c>
    </row>
    <row r="27" customFormat="false" ht="15" hidden="false" customHeight="false" outlineLevel="0" collapsed="false">
      <c r="C27" s="44" t="s">
        <v>771</v>
      </c>
      <c r="D27" s="55" t="n">
        <f aca="false">D25/8</f>
        <v>138.1835</v>
      </c>
      <c r="E27" s="56" t="s">
        <v>772</v>
      </c>
    </row>
    <row r="28" customFormat="false" ht="15" hidden="false" customHeight="false" outlineLevel="0" collapsed="false">
      <c r="C28" s="44" t="s">
        <v>773</v>
      </c>
      <c r="D28" s="55" t="n">
        <f aca="false">D27/5</f>
        <v>27.6367</v>
      </c>
      <c r="E28" s="56" t="s">
        <v>774</v>
      </c>
    </row>
    <row r="29" customFormat="false" ht="15" hidden="false" customHeight="false" outlineLevel="0" collapsed="false">
      <c r="C29" s="44" t="s">
        <v>775</v>
      </c>
      <c r="D29" s="55" t="n">
        <f aca="false">D28/4</f>
        <v>6.909175</v>
      </c>
      <c r="E29" s="56" t="s">
        <v>776</v>
      </c>
    </row>
    <row r="30" customFormat="false" ht="15" hidden="false" customHeight="false" outlineLevel="0" collapsed="false">
      <c r="C30" s="44" t="s">
        <v>777</v>
      </c>
      <c r="D30" s="46" t="n">
        <v>3</v>
      </c>
      <c r="E30" s="56" t="s">
        <v>778</v>
      </c>
    </row>
    <row r="31" customFormat="false" ht="15" hidden="false" customHeight="false" outlineLevel="0" collapsed="false">
      <c r="C31" s="44" t="s">
        <v>779</v>
      </c>
      <c r="D31" s="55" t="n">
        <f aca="false">D28/D30</f>
        <v>9.21223333333333</v>
      </c>
      <c r="E31" s="55" t="n">
        <f aca="false">D31/4</f>
        <v>2.30305833333333</v>
      </c>
      <c r="F31" s="65" t="s">
        <v>780</v>
      </c>
    </row>
    <row r="33" customFormat="false" ht="19.5" hidden="false" customHeight="true" outlineLevel="0" collapsed="false">
      <c r="B33" s="3" t="s">
        <v>781</v>
      </c>
      <c r="C33" s="3"/>
      <c r="D33" s="3"/>
      <c r="E33" s="3"/>
      <c r="F33" s="3"/>
      <c r="G33" s="3"/>
      <c r="H33" s="3"/>
    </row>
    <row r="34" customFormat="false" ht="25.5" hidden="false" customHeight="true" outlineLevel="0" collapsed="false">
      <c r="C34" s="25" t="s">
        <v>782</v>
      </c>
      <c r="D34" s="25" t="s">
        <v>770</v>
      </c>
      <c r="E34" s="25" t="s">
        <v>783</v>
      </c>
      <c r="F34" s="25" t="s">
        <v>784</v>
      </c>
    </row>
    <row r="35" customFormat="false" ht="15" hidden="false" customHeight="false" outlineLevel="0" collapsed="false">
      <c r="C35" s="66" t="n">
        <v>0.05</v>
      </c>
      <c r="D35" s="49" t="n">
        <f aca="false">(SUM($D$7:$D$22)+SUM($D$7:$D$22)*$E$23)*(1+C35)</f>
        <v>1105.468</v>
      </c>
      <c r="E35" s="49" t="n">
        <f aca="false">D35/8/5</f>
        <v>27.6367</v>
      </c>
      <c r="F35" s="49" t="n">
        <f aca="false">E35/$D$30</f>
        <v>9.21223333333334</v>
      </c>
      <c r="G35" s="56" t="s">
        <v>785</v>
      </c>
    </row>
    <row r="36" customFormat="false" ht="15" hidden="false" customHeight="false" outlineLevel="0" collapsed="false">
      <c r="C36" s="47" t="n">
        <v>0.08</v>
      </c>
      <c r="D36" s="49" t="n">
        <f aca="false">(SUM($D$7:$D$22)+SUM($D$7:$D$22)*$E$23)*(1+C36)</f>
        <v>1137.0528</v>
      </c>
      <c r="E36" s="49" t="n">
        <f aca="false">D36/8/5</f>
        <v>28.42632</v>
      </c>
      <c r="F36" s="49" t="n">
        <f aca="false">E36/$D$30</f>
        <v>9.47544</v>
      </c>
      <c r="G36" s="56" t="s">
        <v>786</v>
      </c>
    </row>
    <row r="37" customFormat="false" ht="15" hidden="false" customHeight="false" outlineLevel="0" collapsed="false">
      <c r="C37" s="47" t="n">
        <v>0.12</v>
      </c>
      <c r="D37" s="49" t="n">
        <f aca="false">(SUM($D$7:$D$22)+SUM($D$7:$D$22)*$E$23)*(1+C37)</f>
        <v>1179.16586666667</v>
      </c>
      <c r="E37" s="49" t="n">
        <f aca="false">D37/8/5</f>
        <v>29.4791466666667</v>
      </c>
      <c r="F37" s="49" t="n">
        <f aca="false">E37/$D$30</f>
        <v>9.82638222222222</v>
      </c>
      <c r="G37" s="56" t="s">
        <v>787</v>
      </c>
    </row>
  </sheetData>
  <mergeCells count="4">
    <mergeCell ref="A2:H2"/>
    <mergeCell ref="A3:H3"/>
    <mergeCell ref="E12:G12"/>
    <mergeCell ref="B33:H33"/>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8" min="3" style="0" width="15"/>
    <col collapsed="false" customWidth="true" hidden="false" outlineLevel="0" max="9" min="9" style="0" width="46"/>
  </cols>
  <sheetData>
    <row r="2" customFormat="false" ht="27.75" hidden="false" customHeight="true" outlineLevel="0" collapsed="false">
      <c r="B2" s="18" t="s">
        <v>788</v>
      </c>
      <c r="C2" s="18"/>
      <c r="D2" s="18"/>
      <c r="E2" s="18"/>
      <c r="F2" s="18"/>
      <c r="G2" s="18"/>
      <c r="H2" s="18"/>
      <c r="I2" s="18"/>
    </row>
    <row r="3" customFormat="false" ht="25.5" hidden="false" customHeight="true" outlineLevel="0" collapsed="false">
      <c r="B3" s="19" t="s">
        <v>789</v>
      </c>
      <c r="C3" s="19"/>
      <c r="D3" s="19"/>
      <c r="E3" s="19"/>
      <c r="F3" s="19"/>
      <c r="G3" s="19"/>
      <c r="H3" s="19"/>
      <c r="I3" s="19"/>
    </row>
    <row r="5" customFormat="false" ht="19.5" hidden="false" customHeight="true" outlineLevel="0" collapsed="false">
      <c r="B5" s="3" t="s">
        <v>790</v>
      </c>
      <c r="C5" s="3"/>
      <c r="D5" s="3"/>
      <c r="E5" s="3"/>
      <c r="F5" s="3"/>
      <c r="G5" s="3"/>
      <c r="H5" s="3"/>
      <c r="I5" s="3"/>
    </row>
    <row r="6" customFormat="false" ht="37.5" hidden="false" customHeight="true" outlineLevel="0" collapsed="false">
      <c r="B6" s="25" t="s">
        <v>791</v>
      </c>
      <c r="C6" s="25" t="s">
        <v>792</v>
      </c>
      <c r="D6" s="25" t="s">
        <v>793</v>
      </c>
      <c r="E6" s="25" t="s">
        <v>794</v>
      </c>
      <c r="F6" s="25" t="s">
        <v>795</v>
      </c>
    </row>
    <row r="7" customFormat="false" ht="15" hidden="false" customHeight="false" outlineLevel="0" collapsed="false">
      <c r="B7" s="20" t="s">
        <v>796</v>
      </c>
      <c r="C7" s="67" t="n">
        <v>0.5</v>
      </c>
      <c r="D7" s="67" t="n">
        <v>1</v>
      </c>
      <c r="E7" s="67" t="n">
        <v>1</v>
      </c>
      <c r="F7" s="38" t="s">
        <v>217</v>
      </c>
    </row>
    <row r="8" customFormat="false" ht="15" hidden="false" customHeight="false" outlineLevel="0" collapsed="false">
      <c r="B8" s="20" t="s">
        <v>797</v>
      </c>
      <c r="C8" s="67" t="n">
        <v>1</v>
      </c>
      <c r="D8" s="67" t="n">
        <v>2</v>
      </c>
      <c r="E8" s="67" t="n">
        <v>2</v>
      </c>
      <c r="F8" s="38" t="s">
        <v>153</v>
      </c>
    </row>
    <row r="9" customFormat="false" ht="15" hidden="false" customHeight="false" outlineLevel="0" collapsed="false">
      <c r="B9" s="20" t="s">
        <v>798</v>
      </c>
      <c r="C9" s="67" t="n">
        <v>2</v>
      </c>
      <c r="D9" s="67" t="n">
        <v>3</v>
      </c>
      <c r="E9" s="67" t="n">
        <v>5</v>
      </c>
      <c r="F9" s="38" t="s">
        <v>153</v>
      </c>
    </row>
    <row r="10" customFormat="false" ht="15" hidden="false" customHeight="false" outlineLevel="0" collapsed="false">
      <c r="B10" s="20" t="s">
        <v>799</v>
      </c>
      <c r="C10" s="67" t="n">
        <v>1</v>
      </c>
      <c r="D10" s="67" t="n">
        <v>1</v>
      </c>
      <c r="E10" s="67" t="n">
        <v>2</v>
      </c>
      <c r="F10" s="38" t="s">
        <v>217</v>
      </c>
    </row>
    <row r="11" customFormat="false" ht="15" hidden="false" customHeight="false" outlineLevel="0" collapsed="false">
      <c r="B11" s="40" t="s">
        <v>800</v>
      </c>
      <c r="C11" s="68" t="n">
        <f aca="false">SUM(C8:C9)</f>
        <v>3</v>
      </c>
      <c r="D11" s="68" t="n">
        <f aca="false">SUM(D8:D9)</f>
        <v>5</v>
      </c>
      <c r="E11" s="68" t="n">
        <f aca="false">SUM(E8:E9)</f>
        <v>7</v>
      </c>
      <c r="F11" s="69" t="s">
        <v>801</v>
      </c>
    </row>
    <row r="12" customFormat="false" ht="15" hidden="false" customHeight="false" outlineLevel="0" collapsed="false">
      <c r="B12" s="20" t="s">
        <v>802</v>
      </c>
      <c r="C12" s="70" t="n">
        <f aca="false">SUM(C7:C10)</f>
        <v>4.5</v>
      </c>
      <c r="D12" s="70" t="n">
        <f aca="false">SUM(D7:D10)</f>
        <v>7</v>
      </c>
      <c r="E12" s="70" t="n">
        <f aca="false">SUM(E7:E10)</f>
        <v>10</v>
      </c>
    </row>
    <row r="14" customFormat="false" ht="19.5" hidden="false" customHeight="true" outlineLevel="0" collapsed="false">
      <c r="B14" s="3" t="s">
        <v>803</v>
      </c>
      <c r="C14" s="3"/>
      <c r="D14" s="3"/>
      <c r="E14" s="3"/>
      <c r="F14" s="3"/>
      <c r="G14" s="3"/>
      <c r="H14" s="3"/>
      <c r="I14" s="3"/>
    </row>
    <row r="15" customFormat="false" ht="37.5" hidden="false" customHeight="true" outlineLevel="0" collapsed="false">
      <c r="B15" s="25" t="s">
        <v>804</v>
      </c>
      <c r="C15" s="25" t="s">
        <v>805</v>
      </c>
      <c r="D15" s="25" t="s">
        <v>806</v>
      </c>
      <c r="E15" s="25" t="s">
        <v>807</v>
      </c>
      <c r="F15" s="25" t="s">
        <v>808</v>
      </c>
      <c r="G15" s="25" t="s">
        <v>809</v>
      </c>
      <c r="H15" s="25" t="s">
        <v>810</v>
      </c>
      <c r="I15" s="25" t="s">
        <v>811</v>
      </c>
    </row>
    <row r="16" customFormat="false" ht="45.75" hidden="false" customHeight="true" outlineLevel="0" collapsed="false">
      <c r="B16" s="29" t="s">
        <v>812</v>
      </c>
      <c r="C16" s="71" t="n">
        <f aca="false">C11</f>
        <v>3</v>
      </c>
      <c r="D16" s="47" t="n">
        <v>1</v>
      </c>
      <c r="E16" s="60" t="n">
        <f aca="false">C16*D16</f>
        <v>3</v>
      </c>
      <c r="F16" s="49" t="n">
        <f aca="false">'Overall Estimation'!$D$28/E16</f>
        <v>9.21223333333333</v>
      </c>
      <c r="G16" s="55" t="n">
        <f aca="false">MAX(F16,$C$22)</f>
        <v>9.21223333333333</v>
      </c>
      <c r="H16" s="55" t="n">
        <f aca="false">G16/4</f>
        <v>2.30305833333333</v>
      </c>
      <c r="I16" s="15" t="s">
        <v>813</v>
      </c>
    </row>
    <row r="17" customFormat="false" ht="45.75" hidden="false" customHeight="true" outlineLevel="0" collapsed="false">
      <c r="B17" s="29" t="s">
        <v>814</v>
      </c>
      <c r="C17" s="71" t="n">
        <f aca="false">D11</f>
        <v>5</v>
      </c>
      <c r="D17" s="47" t="n">
        <v>0.95</v>
      </c>
      <c r="E17" s="60" t="n">
        <f aca="false">C17*D17</f>
        <v>4.75</v>
      </c>
      <c r="F17" s="49" t="n">
        <f aca="false">'Overall Estimation'!$D$28/E17</f>
        <v>5.81825263157895</v>
      </c>
      <c r="G17" s="55" t="n">
        <f aca="false">MAX(F17,$C$22)</f>
        <v>5.81825263157895</v>
      </c>
      <c r="H17" s="55" t="n">
        <f aca="false">G17/4</f>
        <v>1.45456315789474</v>
      </c>
      <c r="I17" s="15" t="s">
        <v>815</v>
      </c>
    </row>
    <row r="18" customFormat="false" ht="45.75" hidden="false" customHeight="true" outlineLevel="0" collapsed="false">
      <c r="B18" s="29" t="s">
        <v>816</v>
      </c>
      <c r="C18" s="71" t="n">
        <f aca="false">E11</f>
        <v>7</v>
      </c>
      <c r="D18" s="47" t="n">
        <v>0.9</v>
      </c>
      <c r="E18" s="60" t="n">
        <f aca="false">C18*D18</f>
        <v>6.3</v>
      </c>
      <c r="F18" s="49" t="n">
        <f aca="false">'Overall Estimation'!$D$28/E18</f>
        <v>4.38677777777778</v>
      </c>
      <c r="G18" s="55" t="n">
        <f aca="false">MAX(F18,$C$22)</f>
        <v>4.38677777777778</v>
      </c>
      <c r="H18" s="55" t="n">
        <f aca="false">G18/4</f>
        <v>1.09669444444444</v>
      </c>
      <c r="I18" s="15" t="s">
        <v>817</v>
      </c>
    </row>
    <row r="20" customFormat="false" ht="15" hidden="false" customHeight="false" outlineLevel="0" collapsed="false">
      <c r="B20" s="44" t="s">
        <v>818</v>
      </c>
      <c r="C20" s="52" t="n">
        <f aca="false">'Overall Estimation'!$D$28</f>
        <v>27.6367</v>
      </c>
      <c r="D20" s="56" t="s">
        <v>819</v>
      </c>
    </row>
    <row r="22" customFormat="false" ht="25.5" hidden="false" customHeight="true" outlineLevel="0" collapsed="false">
      <c r="B22" s="44" t="s">
        <v>820</v>
      </c>
      <c r="C22" s="45" t="n">
        <v>3.5</v>
      </c>
      <c r="D22" s="19" t="s">
        <v>821</v>
      </c>
      <c r="E22" s="19"/>
      <c r="F22" s="19"/>
      <c r="G22" s="19"/>
      <c r="H22" s="19"/>
      <c r="I22" s="19"/>
    </row>
  </sheetData>
  <mergeCells count="5">
    <mergeCell ref="B2:I2"/>
    <mergeCell ref="B3:I3"/>
    <mergeCell ref="B5:I5"/>
    <mergeCell ref="B14:I14"/>
    <mergeCell ref="D22:I22"/>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5" min="3" style="0" width="12"/>
    <col collapsed="false" customWidth="true" hidden="false" outlineLevel="0" max="13" min="6" style="0" width="7"/>
  </cols>
  <sheetData>
    <row r="2" customFormat="false" ht="27.75" hidden="false" customHeight="true" outlineLevel="0" collapsed="false">
      <c r="B2" s="18" t="s">
        <v>822</v>
      </c>
      <c r="C2" s="18"/>
      <c r="D2" s="18"/>
      <c r="E2" s="18"/>
      <c r="F2" s="18"/>
      <c r="G2" s="18"/>
      <c r="H2" s="18"/>
      <c r="I2" s="18"/>
      <c r="J2" s="18"/>
      <c r="K2" s="18"/>
      <c r="L2" s="18"/>
      <c r="M2" s="18"/>
    </row>
    <row r="3" customFormat="false" ht="15" hidden="false" customHeight="false" outlineLevel="0" collapsed="false">
      <c r="B3" s="56" t="s">
        <v>823</v>
      </c>
    </row>
    <row r="5" customFormat="false" ht="19.5" hidden="false" customHeight="true" outlineLevel="0" collapsed="false">
      <c r="B5" s="3" t="s">
        <v>824</v>
      </c>
      <c r="C5" s="3"/>
      <c r="D5" s="3"/>
      <c r="E5" s="3"/>
      <c r="F5" s="3"/>
      <c r="G5" s="3"/>
      <c r="H5" s="3"/>
      <c r="I5" s="3"/>
      <c r="J5" s="3"/>
      <c r="K5" s="3"/>
      <c r="L5" s="3"/>
      <c r="M5" s="3"/>
    </row>
    <row r="6" customFormat="false" ht="19.5" hidden="false" customHeight="true" outlineLevel="0" collapsed="false">
      <c r="B6" s="25" t="s">
        <v>825</v>
      </c>
      <c r="C6" s="25" t="s">
        <v>826</v>
      </c>
      <c r="D6" s="25" t="s">
        <v>827</v>
      </c>
      <c r="E6" s="25" t="s">
        <v>828</v>
      </c>
      <c r="F6" s="25" t="s">
        <v>829</v>
      </c>
      <c r="G6" s="25" t="s">
        <v>830</v>
      </c>
      <c r="H6" s="25" t="s">
        <v>831</v>
      </c>
      <c r="I6" s="25" t="s">
        <v>832</v>
      </c>
      <c r="J6" s="25" t="s">
        <v>833</v>
      </c>
      <c r="K6" s="25" t="s">
        <v>834</v>
      </c>
      <c r="L6" s="25" t="s">
        <v>835</v>
      </c>
    </row>
    <row r="7" customFormat="false" ht="19.5" hidden="false" customHeight="true" outlineLevel="0" collapsed="false">
      <c r="B7" s="15" t="s">
        <v>836</v>
      </c>
      <c r="C7" s="72"/>
      <c r="D7" s="72"/>
      <c r="E7" s="73"/>
      <c r="F7" s="73"/>
      <c r="G7" s="73"/>
      <c r="H7" s="73"/>
      <c r="I7" s="73"/>
      <c r="J7" s="73"/>
      <c r="K7" s="73"/>
      <c r="L7" s="73"/>
    </row>
    <row r="8" customFormat="false" ht="19.5" hidden="false" customHeight="true" outlineLevel="0" collapsed="false">
      <c r="B8" s="15" t="s">
        <v>837</v>
      </c>
      <c r="C8" s="72"/>
      <c r="D8" s="72"/>
      <c r="E8" s="73"/>
      <c r="F8" s="73"/>
      <c r="G8" s="73"/>
      <c r="H8" s="73"/>
      <c r="I8" s="73"/>
      <c r="J8" s="73"/>
      <c r="K8" s="73"/>
      <c r="L8" s="73"/>
    </row>
    <row r="9" customFormat="false" ht="19.5" hidden="false" customHeight="true" outlineLevel="0" collapsed="false">
      <c r="B9" s="15" t="s">
        <v>838</v>
      </c>
      <c r="C9" s="73"/>
      <c r="D9" s="72"/>
      <c r="E9" s="72"/>
      <c r="F9" s="72"/>
      <c r="G9" s="72"/>
      <c r="H9" s="73"/>
      <c r="I9" s="73"/>
      <c r="J9" s="73"/>
      <c r="K9" s="73"/>
      <c r="L9" s="73"/>
    </row>
    <row r="10" customFormat="false" ht="19.5" hidden="false" customHeight="true" outlineLevel="0" collapsed="false">
      <c r="B10" s="15" t="s">
        <v>839</v>
      </c>
      <c r="C10" s="73"/>
      <c r="D10" s="73"/>
      <c r="E10" s="72"/>
      <c r="F10" s="72"/>
      <c r="G10" s="72"/>
      <c r="H10" s="72"/>
      <c r="I10" s="72"/>
      <c r="J10" s="72"/>
      <c r="K10" s="73"/>
      <c r="L10" s="73"/>
    </row>
    <row r="11" customFormat="false" ht="19.5" hidden="false" customHeight="true" outlineLevel="0" collapsed="false">
      <c r="B11" s="15" t="s">
        <v>840</v>
      </c>
      <c r="C11" s="73"/>
      <c r="D11" s="73"/>
      <c r="E11" s="73"/>
      <c r="F11" s="73"/>
      <c r="G11" s="72"/>
      <c r="H11" s="72"/>
      <c r="I11" s="72"/>
      <c r="J11" s="72"/>
      <c r="K11" s="72"/>
      <c r="L11" s="73"/>
    </row>
    <row r="12" customFormat="false" ht="19.5" hidden="false" customHeight="true" outlineLevel="0" collapsed="false">
      <c r="B12" s="15" t="s">
        <v>841</v>
      </c>
      <c r="C12" s="73"/>
      <c r="D12" s="73"/>
      <c r="E12" s="73"/>
      <c r="F12" s="73"/>
      <c r="G12" s="73"/>
      <c r="H12" s="72"/>
      <c r="I12" s="72"/>
      <c r="J12" s="72"/>
      <c r="K12" s="72"/>
      <c r="L12" s="72"/>
    </row>
    <row r="13" customFormat="false" ht="19.5" hidden="false" customHeight="true" outlineLevel="0" collapsed="false">
      <c r="B13" s="15" t="s">
        <v>842</v>
      </c>
      <c r="C13" s="73"/>
      <c r="D13" s="73"/>
      <c r="E13" s="73"/>
      <c r="F13" s="73"/>
      <c r="G13" s="73"/>
      <c r="H13" s="73"/>
      <c r="I13" s="73"/>
      <c r="J13" s="73"/>
      <c r="K13" s="73"/>
      <c r="L13" s="72"/>
    </row>
    <row r="16" customFormat="false" ht="19.5" hidden="false" customHeight="true" outlineLevel="0" collapsed="false">
      <c r="B16" s="3" t="s">
        <v>843</v>
      </c>
      <c r="C16" s="3"/>
      <c r="D16" s="3"/>
      <c r="E16" s="3"/>
      <c r="F16" s="3"/>
      <c r="G16" s="3"/>
      <c r="H16" s="3"/>
      <c r="I16" s="3"/>
      <c r="J16" s="3"/>
      <c r="K16" s="3"/>
      <c r="L16" s="3"/>
      <c r="M16" s="3"/>
    </row>
    <row r="17" customFormat="false" ht="19.5" hidden="false" customHeight="true" outlineLevel="0" collapsed="false">
      <c r="B17" s="25" t="s">
        <v>791</v>
      </c>
      <c r="C17" s="25" t="s">
        <v>844</v>
      </c>
      <c r="D17" s="25" t="s">
        <v>845</v>
      </c>
      <c r="E17" s="25" t="s">
        <v>846</v>
      </c>
    </row>
    <row r="18" customFormat="false" ht="15" hidden="false" customHeight="false" outlineLevel="0" collapsed="false">
      <c r="B18" s="17" t="s">
        <v>796</v>
      </c>
      <c r="C18" s="71" t="n">
        <v>0.5</v>
      </c>
      <c r="D18" s="71" t="n">
        <v>0.5</v>
      </c>
      <c r="E18" s="71" t="n">
        <v>0.5</v>
      </c>
    </row>
    <row r="19" customFormat="false" ht="15" hidden="false" customHeight="false" outlineLevel="0" collapsed="false">
      <c r="B19" s="17" t="s">
        <v>797</v>
      </c>
      <c r="C19" s="71" t="n">
        <v>1</v>
      </c>
      <c r="D19" s="71" t="n">
        <v>1</v>
      </c>
      <c r="E19" s="71" t="n">
        <v>1</v>
      </c>
    </row>
    <row r="20" customFormat="false" ht="15" hidden="false" customHeight="false" outlineLevel="0" collapsed="false">
      <c r="B20" s="17" t="s">
        <v>798</v>
      </c>
      <c r="C20" s="71" t="n">
        <v>1</v>
      </c>
      <c r="D20" s="71" t="n">
        <v>2</v>
      </c>
      <c r="E20" s="71" t="n">
        <v>2</v>
      </c>
    </row>
    <row r="21" customFormat="false" ht="15" hidden="false" customHeight="false" outlineLevel="0" collapsed="false">
      <c r="B21" s="17" t="s">
        <v>799</v>
      </c>
      <c r="C21" s="71" t="n">
        <v>1</v>
      </c>
      <c r="D21" s="71" t="n">
        <v>1</v>
      </c>
      <c r="E21" s="71" t="n">
        <v>0.5</v>
      </c>
    </row>
    <row r="22" customFormat="false" ht="15" hidden="false" customHeight="false" outlineLevel="0" collapsed="false">
      <c r="B22" s="40" t="s">
        <v>83</v>
      </c>
      <c r="C22" s="68" t="n">
        <f aca="false">SUM(C18:C21)</f>
        <v>3.5</v>
      </c>
      <c r="D22" s="68" t="n">
        <f aca="false">SUM(D18:D21)</f>
        <v>4.5</v>
      </c>
      <c r="E22" s="68" t="n">
        <f aca="false">SUM(E18:E21)</f>
        <v>4</v>
      </c>
    </row>
    <row r="24" customFormat="false" ht="25.5" hidden="false" customHeight="true" outlineLevel="0" collapsed="false">
      <c r="B24" s="19" t="s">
        <v>847</v>
      </c>
      <c r="C24" s="19"/>
      <c r="D24" s="19"/>
      <c r="E24" s="19"/>
      <c r="F24" s="19"/>
      <c r="G24" s="19"/>
      <c r="H24" s="19"/>
      <c r="I24" s="19"/>
      <c r="J24" s="19"/>
      <c r="K24" s="19"/>
      <c r="L24" s="19"/>
    </row>
  </sheetData>
  <mergeCells count="4">
    <mergeCell ref="B2:M2"/>
    <mergeCell ref="B5:M5"/>
    <mergeCell ref="B16:M16"/>
    <mergeCell ref="B24:L24"/>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4" min="3" style="0" width="26"/>
    <col collapsed="false" customWidth="true" hidden="false" outlineLevel="0" max="5" min="5" style="0" width="22"/>
    <col collapsed="false" customWidth="true" hidden="false" outlineLevel="0" max="6" min="6" style="0" width="3"/>
  </cols>
  <sheetData>
    <row r="2" customFormat="false" ht="27.75" hidden="false" customHeight="true" outlineLevel="0" collapsed="false">
      <c r="B2" s="18" t="s">
        <v>848</v>
      </c>
      <c r="C2" s="18"/>
      <c r="D2" s="18"/>
      <c r="E2" s="18"/>
    </row>
    <row r="3" customFormat="false" ht="27.75" hidden="false" customHeight="true" outlineLevel="0" collapsed="false">
      <c r="B3" s="19" t="s">
        <v>849</v>
      </c>
      <c r="C3" s="19"/>
      <c r="D3" s="19"/>
      <c r="E3" s="19"/>
    </row>
    <row r="5" customFormat="false" ht="19.5" hidden="false" customHeight="true" outlineLevel="0" collapsed="false">
      <c r="B5" s="3" t="s">
        <v>850</v>
      </c>
      <c r="C5" s="3"/>
      <c r="D5" s="3"/>
      <c r="E5" s="3"/>
    </row>
    <row r="6" customFormat="false" ht="27.75" hidden="false" customHeight="true" outlineLevel="0" collapsed="false">
      <c r="B6" s="25" t="s">
        <v>851</v>
      </c>
      <c r="C6" s="25" t="s">
        <v>852</v>
      </c>
      <c r="D6" s="25" t="s">
        <v>853</v>
      </c>
      <c r="E6" s="25" t="s">
        <v>854</v>
      </c>
    </row>
    <row r="7" customFormat="false" ht="15" hidden="false" customHeight="false" outlineLevel="0" collapsed="false">
      <c r="B7" s="20" t="s">
        <v>855</v>
      </c>
      <c r="C7" s="45" t="n">
        <v>1524.94</v>
      </c>
      <c r="D7" s="55" t="n">
        <f aca="false">'Overall Estimation'!$D$25</f>
        <v>1105.468</v>
      </c>
      <c r="E7" s="74" t="n">
        <f aca="false">D7-C7</f>
        <v>-419.472</v>
      </c>
    </row>
    <row r="8" customFormat="false" ht="15" hidden="false" customHeight="false" outlineLevel="0" collapsed="false">
      <c r="B8" s="20" t="s">
        <v>856</v>
      </c>
      <c r="C8" s="45" t="n">
        <v>190.62</v>
      </c>
      <c r="D8" s="55" t="n">
        <f aca="false">'Overall Estimation'!$D$27</f>
        <v>138.1835</v>
      </c>
      <c r="E8" s="74" t="n">
        <f aca="false">D8-C8</f>
        <v>-52.4365</v>
      </c>
    </row>
    <row r="9" customFormat="false" ht="15" hidden="false" customHeight="false" outlineLevel="0" collapsed="false">
      <c r="B9" s="20" t="s">
        <v>857</v>
      </c>
      <c r="C9" s="45" t="n">
        <v>38.12</v>
      </c>
      <c r="D9" s="55" t="n">
        <f aca="false">'Overall Estimation'!$D$28</f>
        <v>27.6367</v>
      </c>
      <c r="E9" s="74" t="n">
        <f aca="false">D9-C9</f>
        <v>-10.4833</v>
      </c>
    </row>
    <row r="10" customFormat="false" ht="15" hidden="false" customHeight="false" outlineLevel="0" collapsed="false">
      <c r="B10" s="20" t="s">
        <v>858</v>
      </c>
      <c r="C10" s="45" t="n">
        <v>56</v>
      </c>
      <c r="D10" s="55" t="n">
        <f aca="false">'Overall Estimation'!$D$11</f>
        <v>32</v>
      </c>
      <c r="E10" s="74" t="n">
        <f aca="false">D10-C10</f>
        <v>-24</v>
      </c>
    </row>
    <row r="11" customFormat="false" ht="15" hidden="false" customHeight="false" outlineLevel="0" collapsed="false">
      <c r="B11" s="20" t="s">
        <v>784</v>
      </c>
      <c r="C11" s="45" t="n">
        <v>12.71</v>
      </c>
      <c r="D11" s="55" t="n">
        <f aca="false">'Resourcing Scenarios'!$G$16</f>
        <v>9.21223333333333</v>
      </c>
      <c r="E11" s="74" t="n">
        <f aca="false">D11-C11</f>
        <v>-3.49776666666667</v>
      </c>
    </row>
    <row r="12" customFormat="false" ht="15" hidden="false" customHeight="false" outlineLevel="0" collapsed="false">
      <c r="B12" s="20" t="s">
        <v>859</v>
      </c>
      <c r="C12" s="45" t="n">
        <v>8.03</v>
      </c>
      <c r="D12" s="55" t="n">
        <f aca="false">'Resourcing Scenarios'!$G$17</f>
        <v>5.81825263157895</v>
      </c>
      <c r="E12" s="74" t="n">
        <f aca="false">D12-C12</f>
        <v>-2.21174736842105</v>
      </c>
    </row>
    <row r="13" customFormat="false" ht="15" hidden="false" customHeight="false" outlineLevel="0" collapsed="false">
      <c r="B13" s="20" t="s">
        <v>860</v>
      </c>
      <c r="C13" s="48" t="n">
        <f aca="false">C7/Scope!$D$7</f>
        <v>10.5898611111111</v>
      </c>
      <c r="D13" s="75" t="n">
        <f aca="false">D7/Scope!$D$7</f>
        <v>7.67686111111111</v>
      </c>
      <c r="E13" s="76" t="n">
        <f aca="false">D13-C13</f>
        <v>-2.913</v>
      </c>
    </row>
    <row r="14" customFormat="false" ht="15" hidden="false" customHeight="false" outlineLevel="0" collapsed="false">
      <c r="B14" s="40" t="s">
        <v>861</v>
      </c>
      <c r="C14" s="43"/>
      <c r="D14" s="77" t="n">
        <f aca="false">1-D7/C7</f>
        <v>0.275074429157869</v>
      </c>
      <c r="E14" s="78" t="s">
        <v>48</v>
      </c>
    </row>
    <row r="16" customFormat="false" ht="19.5" hidden="false" customHeight="true" outlineLevel="0" collapsed="false">
      <c r="B16" s="3" t="s">
        <v>862</v>
      </c>
      <c r="C16" s="3"/>
      <c r="D16" s="3"/>
      <c r="E16" s="3"/>
    </row>
    <row r="17" customFormat="false" ht="24" hidden="false" customHeight="true" outlineLevel="0" collapsed="false">
      <c r="B17" s="25" t="s">
        <v>863</v>
      </c>
      <c r="C17" s="25" t="s">
        <v>852</v>
      </c>
      <c r="D17" s="25" t="s">
        <v>853</v>
      </c>
    </row>
    <row r="18" customFormat="false" ht="43.5" hidden="false" customHeight="true" outlineLevel="0" collapsed="false">
      <c r="B18" s="29" t="s">
        <v>864</v>
      </c>
      <c r="C18" s="15" t="s">
        <v>865</v>
      </c>
      <c r="D18" s="15" t="s">
        <v>866</v>
      </c>
    </row>
    <row r="19" customFormat="false" ht="43.5" hidden="false" customHeight="true" outlineLevel="0" collapsed="false">
      <c r="B19" s="29" t="s">
        <v>867</v>
      </c>
      <c r="C19" s="15" t="s">
        <v>868</v>
      </c>
      <c r="D19" s="15" t="s">
        <v>869</v>
      </c>
    </row>
    <row r="20" customFormat="false" ht="43.5" hidden="false" customHeight="true" outlineLevel="0" collapsed="false">
      <c r="B20" s="29" t="s">
        <v>870</v>
      </c>
      <c r="C20" s="15" t="s">
        <v>871</v>
      </c>
      <c r="D20" s="15" t="s">
        <v>872</v>
      </c>
    </row>
    <row r="21" customFormat="false" ht="43.5" hidden="false" customHeight="true" outlineLevel="0" collapsed="false">
      <c r="B21" s="29" t="s">
        <v>873</v>
      </c>
      <c r="C21" s="15" t="s">
        <v>874</v>
      </c>
      <c r="D21" s="15" t="s">
        <v>875</v>
      </c>
    </row>
    <row r="22" customFormat="false" ht="43.5" hidden="false" customHeight="true" outlineLevel="0" collapsed="false">
      <c r="B22" s="29" t="s">
        <v>876</v>
      </c>
      <c r="C22" s="15" t="s">
        <v>877</v>
      </c>
      <c r="D22" s="15" t="s">
        <v>878</v>
      </c>
    </row>
    <row r="23" customFormat="false" ht="43.5" hidden="false" customHeight="true" outlineLevel="0" collapsed="false">
      <c r="B23" s="29" t="s">
        <v>879</v>
      </c>
      <c r="C23" s="15" t="s">
        <v>880</v>
      </c>
      <c r="D23" s="15" t="s">
        <v>881</v>
      </c>
    </row>
    <row r="24" customFormat="false" ht="43.5" hidden="false" customHeight="true" outlineLevel="0" collapsed="false">
      <c r="B24" s="29" t="s">
        <v>882</v>
      </c>
      <c r="C24" s="15" t="s">
        <v>883</v>
      </c>
      <c r="D24" s="15" t="s">
        <v>884</v>
      </c>
    </row>
    <row r="25" customFormat="false" ht="43.5" hidden="false" customHeight="true" outlineLevel="0" collapsed="false">
      <c r="B25" s="29" t="s">
        <v>885</v>
      </c>
      <c r="C25" s="15" t="s">
        <v>886</v>
      </c>
      <c r="D25" s="15" t="s">
        <v>887</v>
      </c>
    </row>
    <row r="26" customFormat="false" ht="43.5" hidden="false" customHeight="true" outlineLevel="0" collapsed="false">
      <c r="B26" s="29" t="s">
        <v>888</v>
      </c>
      <c r="C26" s="15" t="s">
        <v>889</v>
      </c>
      <c r="D26" s="15" t="s">
        <v>890</v>
      </c>
    </row>
    <row r="27" customFormat="false" ht="43.5" hidden="false" customHeight="true" outlineLevel="0" collapsed="false">
      <c r="B27" s="29" t="s">
        <v>891</v>
      </c>
      <c r="C27" s="15" t="s">
        <v>892</v>
      </c>
      <c r="D27" s="15" t="s">
        <v>893</v>
      </c>
    </row>
    <row r="29" customFormat="false" ht="45.75" hidden="false" customHeight="true" outlineLevel="0" collapsed="false">
      <c r="B29" s="79" t="s">
        <v>894</v>
      </c>
      <c r="C29" s="19" t="s">
        <v>895</v>
      </c>
      <c r="D29" s="19"/>
      <c r="E29" s="19"/>
    </row>
  </sheetData>
  <mergeCells count="5">
    <mergeCell ref="B2:E2"/>
    <mergeCell ref="B3:E3"/>
    <mergeCell ref="B5:E5"/>
    <mergeCell ref="B16:E16"/>
    <mergeCell ref="C29:E29"/>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60"/>
    <col collapsed="false" customWidth="true" hidden="false" outlineLevel="0" max="5" min="4" style="0" width="34"/>
    <col collapsed="false" customWidth="true" hidden="false" outlineLevel="0" max="6" min="6" style="0" width="3"/>
  </cols>
  <sheetData>
    <row r="2" customFormat="false" ht="27.75" hidden="false" customHeight="true" outlineLevel="0" collapsed="false">
      <c r="B2" s="18" t="s">
        <v>896</v>
      </c>
      <c r="C2" s="18"/>
      <c r="D2" s="18"/>
      <c r="E2" s="18"/>
    </row>
    <row r="4" customFormat="false" ht="19.5" hidden="false" customHeight="true" outlineLevel="0" collapsed="false">
      <c r="B4" s="3" t="s">
        <v>897</v>
      </c>
      <c r="C4" s="3"/>
      <c r="D4" s="3"/>
      <c r="E4" s="3"/>
    </row>
    <row r="5" customFormat="false" ht="37.5" hidden="false" customHeight="true" outlineLevel="0" collapsed="false">
      <c r="C5" s="20" t="s">
        <v>898</v>
      </c>
      <c r="D5" s="15" t="s">
        <v>899</v>
      </c>
      <c r="E5" s="15"/>
    </row>
    <row r="6" customFormat="false" ht="37.5" hidden="false" customHeight="true" outlineLevel="0" collapsed="false">
      <c r="C6" s="20" t="s">
        <v>900</v>
      </c>
      <c r="D6" s="15" t="s">
        <v>901</v>
      </c>
      <c r="E6" s="15"/>
    </row>
    <row r="7" customFormat="false" ht="37.5" hidden="false" customHeight="true" outlineLevel="0" collapsed="false">
      <c r="C7" s="20" t="s">
        <v>902</v>
      </c>
      <c r="D7" s="15" t="s">
        <v>903</v>
      </c>
      <c r="E7" s="15"/>
    </row>
    <row r="8" customFormat="false" ht="37.5" hidden="false" customHeight="true" outlineLevel="0" collapsed="false">
      <c r="C8" s="20" t="s">
        <v>904</v>
      </c>
      <c r="D8" s="15" t="s">
        <v>905</v>
      </c>
      <c r="E8" s="15"/>
    </row>
    <row r="10" customFormat="false" ht="19.5" hidden="false" customHeight="true" outlineLevel="0" collapsed="false">
      <c r="B10" s="3" t="s">
        <v>906</v>
      </c>
      <c r="C10" s="3"/>
      <c r="D10" s="3"/>
      <c r="E10" s="3"/>
    </row>
    <row r="11" customFormat="false" ht="31.5" hidden="false" customHeight="true" outlineLevel="0" collapsed="false">
      <c r="B11" s="80" t="n">
        <v>1</v>
      </c>
      <c r="C11" s="15" t="s">
        <v>907</v>
      </c>
      <c r="D11" s="15"/>
      <c r="E11" s="15"/>
    </row>
    <row r="12" customFormat="false" ht="31.5" hidden="false" customHeight="true" outlineLevel="0" collapsed="false">
      <c r="B12" s="80" t="n">
        <v>2</v>
      </c>
      <c r="C12" s="15" t="s">
        <v>908</v>
      </c>
      <c r="D12" s="15"/>
      <c r="E12" s="15"/>
    </row>
    <row r="13" customFormat="false" ht="31.5" hidden="false" customHeight="true" outlineLevel="0" collapsed="false">
      <c r="B13" s="80" t="n">
        <v>3</v>
      </c>
      <c r="C13" s="15" t="s">
        <v>909</v>
      </c>
      <c r="D13" s="15"/>
      <c r="E13" s="15"/>
    </row>
    <row r="14" customFormat="false" ht="31.5" hidden="false" customHeight="true" outlineLevel="0" collapsed="false">
      <c r="B14" s="80" t="n">
        <v>4</v>
      </c>
      <c r="C14" s="15" t="s">
        <v>910</v>
      </c>
      <c r="D14" s="15"/>
      <c r="E14" s="15"/>
    </row>
    <row r="15" customFormat="false" ht="31.5" hidden="false" customHeight="true" outlineLevel="0" collapsed="false">
      <c r="B15" s="80" t="n">
        <v>5</v>
      </c>
      <c r="C15" s="15" t="s">
        <v>911</v>
      </c>
      <c r="D15" s="15"/>
      <c r="E15" s="15"/>
    </row>
    <row r="16" customFormat="false" ht="31.5" hidden="false" customHeight="true" outlineLevel="0" collapsed="false">
      <c r="B16" s="80" t="n">
        <v>6</v>
      </c>
      <c r="C16" s="15" t="s">
        <v>912</v>
      </c>
      <c r="D16" s="15"/>
      <c r="E16" s="15"/>
    </row>
    <row r="17" customFormat="false" ht="31.5" hidden="false" customHeight="true" outlineLevel="0" collapsed="false">
      <c r="B17" s="80" t="n">
        <v>7</v>
      </c>
      <c r="C17" s="15" t="s">
        <v>913</v>
      </c>
      <c r="D17" s="15"/>
      <c r="E17" s="15"/>
    </row>
    <row r="18" customFormat="false" ht="31.5" hidden="false" customHeight="true" outlineLevel="0" collapsed="false">
      <c r="B18" s="80" t="n">
        <v>8</v>
      </c>
      <c r="C18" s="15" t="s">
        <v>914</v>
      </c>
      <c r="D18" s="15"/>
      <c r="E18" s="15"/>
    </row>
    <row r="19" customFormat="false" ht="31.5" hidden="false" customHeight="true" outlineLevel="0" collapsed="false">
      <c r="B19" s="80" t="n">
        <v>9</v>
      </c>
      <c r="C19" s="15" t="s">
        <v>915</v>
      </c>
      <c r="D19" s="15"/>
      <c r="E19" s="15"/>
    </row>
    <row r="20" customFormat="false" ht="31.5" hidden="false" customHeight="true" outlineLevel="0" collapsed="false">
      <c r="B20" s="80" t="n">
        <v>10</v>
      </c>
      <c r="C20" s="15" t="s">
        <v>916</v>
      </c>
      <c r="D20" s="15"/>
      <c r="E20" s="15"/>
    </row>
    <row r="22" customFormat="false" ht="19.5" hidden="false" customHeight="true" outlineLevel="0" collapsed="false">
      <c r="B22" s="3" t="s">
        <v>917</v>
      </c>
      <c r="C22" s="3"/>
      <c r="D22" s="3"/>
      <c r="E22" s="3"/>
    </row>
    <row r="23" customFormat="false" ht="19.5" hidden="false" customHeight="true" outlineLevel="0" collapsed="false">
      <c r="B23" s="80" t="n">
        <v>1</v>
      </c>
      <c r="C23" s="15" t="s">
        <v>918</v>
      </c>
      <c r="D23" s="15"/>
      <c r="E23" s="15"/>
    </row>
    <row r="24" customFormat="false" ht="19.5" hidden="false" customHeight="true" outlineLevel="0" collapsed="false">
      <c r="B24" s="80" t="n">
        <v>2</v>
      </c>
      <c r="C24" s="15" t="s">
        <v>919</v>
      </c>
      <c r="D24" s="15"/>
      <c r="E24" s="15"/>
    </row>
    <row r="25" customFormat="false" ht="19.5" hidden="false" customHeight="true" outlineLevel="0" collapsed="false">
      <c r="B25" s="80" t="n">
        <v>3</v>
      </c>
      <c r="C25" s="15" t="s">
        <v>920</v>
      </c>
      <c r="D25" s="15"/>
      <c r="E25" s="15"/>
    </row>
    <row r="26" customFormat="false" ht="19.5" hidden="false" customHeight="true" outlineLevel="0" collapsed="false">
      <c r="B26" s="80" t="n">
        <v>4</v>
      </c>
      <c r="C26" s="15" t="s">
        <v>921</v>
      </c>
      <c r="D26" s="15"/>
      <c r="E26" s="15"/>
    </row>
    <row r="27" customFormat="false" ht="19.5" hidden="false" customHeight="true" outlineLevel="0" collapsed="false">
      <c r="B27" s="80" t="n">
        <v>5</v>
      </c>
      <c r="C27" s="15" t="s">
        <v>922</v>
      </c>
      <c r="D27" s="15"/>
      <c r="E27" s="15"/>
    </row>
    <row r="28" customFormat="false" ht="19.5" hidden="false" customHeight="true" outlineLevel="0" collapsed="false">
      <c r="B28" s="80" t="n">
        <v>6</v>
      </c>
      <c r="C28" s="15" t="s">
        <v>923</v>
      </c>
      <c r="D28" s="15"/>
      <c r="E28" s="15"/>
    </row>
    <row r="29" customFormat="false" ht="19.5" hidden="false" customHeight="true" outlineLevel="0" collapsed="false">
      <c r="B29" s="80" t="n">
        <v>7</v>
      </c>
      <c r="C29" s="15" t="s">
        <v>924</v>
      </c>
      <c r="D29" s="15"/>
      <c r="E29" s="15"/>
    </row>
    <row r="31" customFormat="false" ht="19.5" hidden="false" customHeight="true" outlineLevel="0" collapsed="false">
      <c r="B31" s="3" t="s">
        <v>925</v>
      </c>
      <c r="C31" s="3"/>
      <c r="D31" s="3"/>
      <c r="E31" s="3"/>
    </row>
    <row r="32" customFormat="false" ht="19.5" hidden="false" customHeight="true" outlineLevel="0" collapsed="false">
      <c r="C32" s="25" t="s">
        <v>926</v>
      </c>
      <c r="D32" s="25" t="s">
        <v>927</v>
      </c>
      <c r="E32" s="25" t="s">
        <v>928</v>
      </c>
    </row>
    <row r="33" customFormat="false" ht="45.75" hidden="false" customHeight="true" outlineLevel="0" collapsed="false">
      <c r="C33" s="15" t="s">
        <v>929</v>
      </c>
      <c r="D33" s="15" t="s">
        <v>930</v>
      </c>
      <c r="E33" s="15" t="s">
        <v>931</v>
      </c>
    </row>
    <row r="34" customFormat="false" ht="45.75" hidden="false" customHeight="true" outlineLevel="0" collapsed="false">
      <c r="C34" s="15" t="s">
        <v>932</v>
      </c>
      <c r="D34" s="15" t="s">
        <v>933</v>
      </c>
      <c r="E34" s="15" t="s">
        <v>934</v>
      </c>
    </row>
    <row r="35" customFormat="false" ht="45.75" hidden="false" customHeight="true" outlineLevel="0" collapsed="false">
      <c r="C35" s="15" t="s">
        <v>935</v>
      </c>
      <c r="D35" s="15" t="s">
        <v>936</v>
      </c>
      <c r="E35" s="15" t="s">
        <v>937</v>
      </c>
    </row>
    <row r="36" customFormat="false" ht="45.75" hidden="false" customHeight="true" outlineLevel="0" collapsed="false">
      <c r="C36" s="15" t="s">
        <v>938</v>
      </c>
      <c r="D36" s="15" t="s">
        <v>939</v>
      </c>
      <c r="E36" s="15" t="s">
        <v>940</v>
      </c>
    </row>
    <row r="37" customFormat="false" ht="45.75" hidden="false" customHeight="true" outlineLevel="0" collapsed="false">
      <c r="C37" s="15" t="s">
        <v>941</v>
      </c>
      <c r="D37" s="15" t="s">
        <v>942</v>
      </c>
      <c r="E37" s="15" t="s">
        <v>943</v>
      </c>
    </row>
    <row r="38" customFormat="false" ht="45.75" hidden="false" customHeight="true" outlineLevel="0" collapsed="false">
      <c r="C38" s="15" t="s">
        <v>944</v>
      </c>
      <c r="D38" s="15" t="s">
        <v>945</v>
      </c>
      <c r="E38" s="15" t="s">
        <v>946</v>
      </c>
    </row>
    <row r="39" customFormat="false" ht="45.75" hidden="false" customHeight="true" outlineLevel="0" collapsed="false">
      <c r="C39" s="15" t="s">
        <v>947</v>
      </c>
      <c r="D39" s="15" t="s">
        <v>948</v>
      </c>
      <c r="E39" s="15" t="s">
        <v>949</v>
      </c>
    </row>
  </sheetData>
  <mergeCells count="26">
    <mergeCell ref="B2:E2"/>
    <mergeCell ref="B4:E4"/>
    <mergeCell ref="D5:E5"/>
    <mergeCell ref="D6:E6"/>
    <mergeCell ref="D7:E7"/>
    <mergeCell ref="D8:E8"/>
    <mergeCell ref="B10:E10"/>
    <mergeCell ref="C11:E11"/>
    <mergeCell ref="C12:E12"/>
    <mergeCell ref="C13:E13"/>
    <mergeCell ref="C14:E14"/>
    <mergeCell ref="C15:E15"/>
    <mergeCell ref="C16:E16"/>
    <mergeCell ref="C17:E17"/>
    <mergeCell ref="C18:E18"/>
    <mergeCell ref="C19:E19"/>
    <mergeCell ref="C20:E20"/>
    <mergeCell ref="B22:E22"/>
    <mergeCell ref="C23:E23"/>
    <mergeCell ref="C24:E24"/>
    <mergeCell ref="C25:E25"/>
    <mergeCell ref="C26:E26"/>
    <mergeCell ref="C27:E27"/>
    <mergeCell ref="C28:E28"/>
    <mergeCell ref="C29:E29"/>
    <mergeCell ref="B31:E31"/>
  </mergeCells>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2026-08-24T09:49:39Z</dcterms:created>
  <dc:creator>openpyxl</dc:creator>
  <dc:description/>
  <dc:language>en-US</dc:language>
  <cp:lastModifiedBy/>
  <dcterms:modified xsi:type="dcterms:W3CDTF">2026-08-24T09:50:23Z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