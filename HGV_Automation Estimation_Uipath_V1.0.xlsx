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445762_cognizant_com1/Documents/Documents/HGV UiPath/"/>
    </mc:Choice>
  </mc:AlternateContent>
  <xr:revisionPtr revIDLastSave="0" documentId="8_{16D7EE93-8BD0-4BDD-A799-C6FFF675F1A2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Cover Page " sheetId="11" r:id="rId1"/>
    <sheet name="Scope" sheetId="8" r:id="rId2"/>
    <sheet name="Overall Estimation" sheetId="2" r:id="rId3"/>
    <sheet name="Resourcing - Model" sheetId="9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8" l="1"/>
  <c r="F5" i="8"/>
  <c r="E5" i="8"/>
  <c r="F7" i="2"/>
  <c r="E20" i="2" s="1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C18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C15" i="9"/>
  <c r="D11" i="2"/>
  <c r="E11" i="2" s="1"/>
  <c r="G5" i="8" l="1"/>
  <c r="E15" i="2"/>
  <c r="G27" i="9"/>
  <c r="F27" i="9"/>
  <c r="E27" i="9"/>
  <c r="Q27" i="9"/>
  <c r="P27" i="9" l="1"/>
  <c r="O27" i="9"/>
  <c r="N27" i="9"/>
  <c r="M27" i="9"/>
  <c r="L27" i="9"/>
  <c r="K27" i="9"/>
  <c r="J27" i="9"/>
  <c r="I27" i="9"/>
  <c r="H27" i="9"/>
  <c r="D27" i="9"/>
  <c r="C27" i="9"/>
  <c r="F9" i="2" l="1"/>
  <c r="G15" i="2" s="1"/>
  <c r="F8" i="2"/>
  <c r="F20" i="2" l="1"/>
  <c r="F15" i="2"/>
  <c r="G20" i="2"/>
  <c r="F10" i="2"/>
  <c r="H9" i="2"/>
  <c r="H8" i="2"/>
  <c r="H7" i="2"/>
  <c r="G21" i="2" l="1"/>
  <c r="D17" i="2" s="1"/>
  <c r="G16" i="2"/>
  <c r="D12" i="2" s="1"/>
  <c r="H10" i="2"/>
  <c r="D7" i="2" s="1"/>
  <c r="D22" i="2" l="1"/>
  <c r="D23" i="2" s="1"/>
  <c r="D24" i="2" l="1"/>
  <c r="D26" i="2" s="1"/>
  <c r="D27" i="2" s="1"/>
  <c r="D28" i="2" s="1"/>
  <c r="D30" i="2" l="1"/>
  <c r="E3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I, Mohamed Mobin (Cognizant)</author>
  </authors>
  <commentList>
    <comment ref="D12" authorId="0" shapeId="0" xr:uid="{00000000-0006-0000-0200-000004000000}">
      <text>
        <r>
          <rPr>
            <sz val="9"/>
            <color indexed="81"/>
            <rFont val="Tahoma"/>
            <family val="2"/>
          </rPr>
          <t>Additional 16hrs for the preparation of Automation Test Plan</t>
        </r>
      </text>
    </comment>
  </commentList>
</comments>
</file>

<file path=xl/sharedStrings.xml><?xml version="1.0" encoding="utf-8"?>
<sst xmlns="http://schemas.openxmlformats.org/spreadsheetml/2006/main" count="114" uniqueCount="90">
  <si>
    <t>Test Automation Estimates</t>
  </si>
  <si>
    <t>Test Automation Estimation</t>
  </si>
  <si>
    <t>Total No of Test cases</t>
  </si>
  <si>
    <t>Automation Test Suite  - Scope</t>
  </si>
  <si>
    <t>Complexity</t>
  </si>
  <si>
    <t>Simple</t>
  </si>
  <si>
    <t>Medium</t>
  </si>
  <si>
    <t>Complex</t>
  </si>
  <si>
    <t>Total</t>
  </si>
  <si>
    <t>Number of Test Cases</t>
  </si>
  <si>
    <t>Coverage</t>
  </si>
  <si>
    <t>No of Test Case</t>
  </si>
  <si>
    <t>Scope for automation</t>
  </si>
  <si>
    <t>Account Payables</t>
  </si>
  <si>
    <t>Invoice Creation</t>
  </si>
  <si>
    <t>PO Matched</t>
  </si>
  <si>
    <t>AP Payment</t>
  </si>
  <si>
    <t>AP to GL</t>
  </si>
  <si>
    <t>Core HR</t>
  </si>
  <si>
    <t>My customer wants to implement account payables and their requirement is to have invoice creation and matched with 3-way PO.
Their payment types are Check , EFT and Wire</t>
  </si>
  <si>
    <t>RL Inputs</t>
  </si>
  <si>
    <t>If total PD &gt; 6 months</t>
  </si>
  <si>
    <t>automation test Mgr</t>
  </si>
  <si>
    <t>Functional SME</t>
  </si>
  <si>
    <t>3 to 4 months</t>
  </si>
  <si>
    <t>Automation engineers</t>
  </si>
  <si>
    <t>based on the PD's that is derived</t>
  </si>
  <si>
    <t>&lt;6 months</t>
  </si>
  <si>
    <t>&lt;3 months</t>
  </si>
  <si>
    <t>TEST AUTOMATION ESTIMATION - Regression</t>
  </si>
  <si>
    <t>Effort Splitup</t>
  </si>
  <si>
    <t>Automation Activities</t>
  </si>
  <si>
    <t>Activity Description</t>
  </si>
  <si>
    <t>Estimated Hours
Phase I</t>
  </si>
  <si>
    <t>Minutes</t>
  </si>
  <si>
    <t>KT</t>
  </si>
  <si>
    <t>KT / Automation Planning</t>
  </si>
  <si>
    <t xml:space="preserve">Identification and Knowledge Transfer of test cases to the automation team
</t>
  </si>
  <si>
    <t>Total in hrs</t>
  </si>
  <si>
    <t>Test Automation Environment set up</t>
  </si>
  <si>
    <t>Setting up of Test Automation Environment
(Installation of Automation tool, Automation framework setup and getting access to Instance etc.)
Integration with Test Mangement Tool</t>
  </si>
  <si>
    <t>Automation Design / Development</t>
  </si>
  <si>
    <t xml:space="preserve">
1. Prepare Automation Test Plan
2. Develop/Redesign Reusable libraries for automation
4. Develop new automation scripts
5. Prepare Test data template(s)
</t>
  </si>
  <si>
    <t>Automation Design</t>
  </si>
  <si>
    <t>2 day</t>
  </si>
  <si>
    <t>1 day</t>
  </si>
  <si>
    <t>0.5 day</t>
  </si>
  <si>
    <t>No. Of test cases/day</t>
  </si>
  <si>
    <t>Automation Execution (Dry Run)</t>
  </si>
  <si>
    <t xml:space="preserve">
1. Prepare Test Data &amp; Update the Test data's in the Excel Template(s)
2. Execution (dry run) of automation scripts
</t>
  </si>
  <si>
    <t>Automation Execution</t>
  </si>
  <si>
    <t>Project Management</t>
  </si>
  <si>
    <t xml:space="preserve">Project Management Activities 
</t>
  </si>
  <si>
    <t xml:space="preserve">Contingency </t>
  </si>
  <si>
    <t xml:space="preserve">Contingency hours to make up for Application/Test tool non-availability
</t>
  </si>
  <si>
    <t>Overall</t>
  </si>
  <si>
    <t>Total Person Days</t>
  </si>
  <si>
    <t>Total Person Weeks</t>
  </si>
  <si>
    <t>Total Person Months</t>
  </si>
  <si>
    <t>Estimated Resources (Automation Engineers)</t>
  </si>
  <si>
    <t>Duration (in Weeks)</t>
  </si>
  <si>
    <t>Months</t>
  </si>
  <si>
    <t>i</t>
  </si>
  <si>
    <t>Time Line  - Automation Test Suite Development</t>
  </si>
  <si>
    <t>Month 1</t>
  </si>
  <si>
    <t>Month 2</t>
  </si>
  <si>
    <t xml:space="preserve">Month 3 </t>
  </si>
  <si>
    <t>Month 4</t>
  </si>
  <si>
    <t>Month 5</t>
  </si>
  <si>
    <t>Month 6</t>
  </si>
  <si>
    <t>Anaylyze the Manual Test suite &amp; KT on Existing Business Process</t>
  </si>
  <si>
    <t>Test Automation tool &amp; Environment set-up</t>
  </si>
  <si>
    <t>Create Reusable Libraries</t>
  </si>
  <si>
    <t>Design &amp; Develop Automation Test Scripts</t>
  </si>
  <si>
    <t>Dry Run of Automation Test scripts</t>
  </si>
  <si>
    <t>Autmation Test suite Sign-Off &amp; Preparation of User Guide</t>
  </si>
  <si>
    <t>Role (Onsite)</t>
  </si>
  <si>
    <t>Automation Test Manager (SM)</t>
  </si>
  <si>
    <t>Senior Automation Tester (M)</t>
  </si>
  <si>
    <t>Automation Tester (A)</t>
  </si>
  <si>
    <t>Automation Resourcing Total</t>
  </si>
  <si>
    <t>Functional SME/ BA (Onsite)</t>
  </si>
  <si>
    <t>Functional Tester/BA</t>
  </si>
  <si>
    <t>`</t>
  </si>
  <si>
    <t>Time Line  - Regression Testing Support</t>
  </si>
  <si>
    <t>Automation - Regression Test Support</t>
  </si>
  <si>
    <t>Role</t>
  </si>
  <si>
    <t>Automation Test Lead</t>
  </si>
  <si>
    <t>Automation Tester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</si>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</sst>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Black"/>
      <family val="2"/>
    </font>
    <font>
      <sz val="8"/>
      <name val="Verdana"/>
      <family val="2"/>
    </font>
    <font>
      <sz val="10"/>
      <name val="Arial Black"/>
      <family val="2"/>
    </font>
    <font>
      <b/>
      <sz val="8"/>
      <name val="Verdan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20"/>
      <color indexed="18"/>
      <name val="Arial"/>
      <family val="2"/>
    </font>
    <font>
      <b/>
      <sz val="12"/>
      <color indexed="18"/>
      <name val="Arial"/>
      <family val="2"/>
    </font>
    <font>
      <b/>
      <sz val="14"/>
      <color indexed="18"/>
      <name val="Arial"/>
      <family val="2"/>
    </font>
    <font>
      <sz val="14"/>
      <name val="Arial"/>
      <family val="2"/>
    </font>
    <font>
      <b/>
      <sz val="16"/>
      <color indexed="18"/>
      <name val="Arial"/>
      <family val="2"/>
    </font>
    <font>
      <sz val="9"/>
      <name val="Arial"/>
      <family val="2"/>
    </font>
    <font>
      <u/>
      <sz val="11"/>
      <name val="Arial"/>
      <family val="2"/>
    </font>
    <font>
      <i/>
      <sz val="10"/>
      <name val="Arial"/>
      <family val="2"/>
    </font>
    <font>
      <sz val="9"/>
      <color indexed="23"/>
      <name val="Arial"/>
      <family val="2"/>
    </font>
    <font>
      <b/>
      <i/>
      <sz val="10"/>
      <name val="Arial"/>
      <family val="2"/>
    </font>
    <font>
      <u/>
      <sz val="10"/>
      <color indexed="12"/>
      <name val="Arial"/>
      <family val="2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8" tint="0.39997558519241921"/>
      <name val="Calibri"/>
      <family val="2"/>
      <scheme val="minor"/>
    </font>
    <font>
      <b/>
      <sz val="8"/>
      <color rgb="FF92D05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gradientFill degree="90">
        <stop position="0">
          <color rgb="FF00B0F0"/>
        </stop>
        <stop position="1">
          <color rgb="FF0070C0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2" fillId="0" borderId="0"/>
    <xf numFmtId="0" fontId="2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44" fontId="1" fillId="0" borderId="0" applyFont="0" applyFill="0" applyBorder="0" applyAlignment="0" applyProtection="0"/>
  </cellStyleXfs>
  <cellXfs count="153">
    <xf numFmtId="0" fontId="0" fillId="0" borderId="0" xfId="0"/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 wrapText="1"/>
    </xf>
    <xf numFmtId="0" fontId="6" fillId="0" borderId="0" xfId="1" applyFont="1" applyAlignment="1">
      <alignment horizontal="center"/>
    </xf>
    <xf numFmtId="0" fontId="2" fillId="0" borderId="0" xfId="2"/>
    <xf numFmtId="0" fontId="8" fillId="6" borderId="0" xfId="2" applyFont="1" applyFill="1"/>
    <xf numFmtId="0" fontId="2" fillId="6" borderId="0" xfId="2" applyFill="1"/>
    <xf numFmtId="0" fontId="2" fillId="6" borderId="0" xfId="2" applyFill="1" applyAlignment="1">
      <alignment horizontal="center"/>
    </xf>
    <xf numFmtId="0" fontId="8" fillId="6" borderId="2" xfId="2" applyFont="1" applyFill="1" applyBorder="1"/>
    <xf numFmtId="0" fontId="8" fillId="6" borderId="3" xfId="2" applyFont="1" applyFill="1" applyBorder="1"/>
    <xf numFmtId="0" fontId="2" fillId="6" borderId="3" xfId="2" applyFill="1" applyBorder="1"/>
    <xf numFmtId="0" fontId="2" fillId="6" borderId="3" xfId="2" applyFill="1" applyBorder="1" applyAlignment="1">
      <alignment horizontal="center"/>
    </xf>
    <xf numFmtId="0" fontId="2" fillId="6" borderId="4" xfId="2" applyFill="1" applyBorder="1"/>
    <xf numFmtId="0" fontId="8" fillId="6" borderId="5" xfId="2" applyFont="1" applyFill="1" applyBorder="1"/>
    <xf numFmtId="0" fontId="2" fillId="6" borderId="6" xfId="2" applyFill="1" applyBorder="1"/>
    <xf numFmtId="0" fontId="10" fillId="6" borderId="5" xfId="2" applyFont="1" applyFill="1" applyBorder="1" applyAlignment="1">
      <alignment horizontal="center"/>
    </xf>
    <xf numFmtId="0" fontId="10" fillId="6" borderId="0" xfId="2" applyFont="1" applyFill="1" applyAlignment="1">
      <alignment horizontal="center"/>
    </xf>
    <xf numFmtId="0" fontId="2" fillId="6" borderId="5" xfId="2" applyFill="1" applyBorder="1" applyAlignment="1">
      <alignment horizontal="center"/>
    </xf>
    <xf numFmtId="0" fontId="2" fillId="6" borderId="5" xfId="2" applyFill="1" applyBorder="1"/>
    <xf numFmtId="0" fontId="14" fillId="6" borderId="0" xfId="2" applyFont="1" applyFill="1"/>
    <xf numFmtId="0" fontId="16" fillId="6" borderId="0" xfId="2" applyFont="1" applyFill="1" applyAlignment="1">
      <alignment vertical="top"/>
    </xf>
    <xf numFmtId="14" fontId="16" fillId="6" borderId="0" xfId="2" applyNumberFormat="1" applyFont="1" applyFill="1" applyAlignment="1">
      <alignment horizontal="left"/>
    </xf>
    <xf numFmtId="0" fontId="16" fillId="6" borderId="0" xfId="2" applyFont="1" applyFill="1" applyAlignment="1">
      <alignment horizontal="center" vertical="top"/>
    </xf>
    <xf numFmtId="0" fontId="7" fillId="6" borderId="5" xfId="2" applyFont="1" applyFill="1" applyBorder="1"/>
    <xf numFmtId="0" fontId="7" fillId="6" borderId="0" xfId="2" applyFont="1" applyFill="1"/>
    <xf numFmtId="0" fontId="16" fillId="6" borderId="6" xfId="2" applyFont="1" applyFill="1" applyBorder="1" applyAlignment="1">
      <alignment vertical="top"/>
    </xf>
    <xf numFmtId="0" fontId="17" fillId="6" borderId="5" xfId="2" applyFont="1" applyFill="1" applyBorder="1" applyAlignment="1">
      <alignment horizontal="left"/>
    </xf>
    <xf numFmtId="0" fontId="17" fillId="6" borderId="0" xfId="2" applyFont="1" applyFill="1" applyAlignment="1">
      <alignment horizontal="left"/>
    </xf>
    <xf numFmtId="0" fontId="18" fillId="6" borderId="5" xfId="2" applyFont="1" applyFill="1" applyBorder="1" applyAlignment="1">
      <alignment vertical="top"/>
    </xf>
    <xf numFmtId="0" fontId="7" fillId="6" borderId="0" xfId="2" applyFont="1" applyFill="1" applyAlignment="1">
      <alignment vertical="top"/>
    </xf>
    <xf numFmtId="0" fontId="16" fillId="6" borderId="5" xfId="2" applyFont="1" applyFill="1" applyBorder="1"/>
    <xf numFmtId="0" fontId="2" fillId="6" borderId="7" xfId="2" applyFill="1" applyBorder="1"/>
    <xf numFmtId="0" fontId="2" fillId="6" borderId="8" xfId="2" applyFill="1" applyBorder="1"/>
    <xf numFmtId="0" fontId="2" fillId="6" borderId="8" xfId="2" applyFill="1" applyBorder="1" applyAlignment="1">
      <alignment horizontal="center"/>
    </xf>
    <xf numFmtId="0" fontId="2" fillId="6" borderId="9" xfId="2" applyFill="1" applyBorder="1"/>
    <xf numFmtId="0" fontId="4" fillId="0" borderId="0" xfId="1" applyFont="1" applyAlignment="1">
      <alignment vertical="center" wrapText="1"/>
    </xf>
    <xf numFmtId="1" fontId="4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0" fontId="4" fillId="9" borderId="0" xfId="1" applyFont="1" applyFill="1" applyAlignment="1">
      <alignment horizontal="center"/>
    </xf>
    <xf numFmtId="0" fontId="4" fillId="9" borderId="0" xfId="1" applyFont="1" applyFill="1" applyAlignment="1">
      <alignment horizontal="center" wrapText="1"/>
    </xf>
    <xf numFmtId="0" fontId="4" fillId="8" borderId="0" xfId="1" applyFont="1" applyFill="1" applyAlignment="1">
      <alignment vertical="center" wrapText="1"/>
    </xf>
    <xf numFmtId="0" fontId="24" fillId="0" borderId="0" xfId="0" applyFont="1" applyAlignment="1">
      <alignment horizontal="center" vertical="center"/>
    </xf>
    <xf numFmtId="165" fontId="24" fillId="0" borderId="0" xfId="12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11" borderId="1" xfId="2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12" borderId="17" xfId="0" applyFont="1" applyFill="1" applyBorder="1" applyAlignment="1">
      <alignment horizontal="center" vertical="center" wrapText="1"/>
    </xf>
    <xf numFmtId="0" fontId="0" fillId="0" borderId="1" xfId="0" applyBorder="1"/>
    <xf numFmtId="0" fontId="25" fillId="11" borderId="19" xfId="2" applyFont="1" applyFill="1" applyBorder="1" applyAlignment="1">
      <alignment horizontal="center" vertical="center"/>
    </xf>
    <xf numFmtId="0" fontId="27" fillId="0" borderId="13" xfId="0" applyFont="1" applyBorder="1" applyAlignment="1">
      <alignment vertical="center" wrapText="1"/>
    </xf>
    <xf numFmtId="0" fontId="26" fillId="0" borderId="13" xfId="0" applyFont="1" applyBorder="1" applyAlignment="1">
      <alignment horizontal="center" vertical="center" wrapText="1"/>
    </xf>
    <xf numFmtId="0" fontId="28" fillId="9" borderId="13" xfId="0" applyFont="1" applyFill="1" applyBorder="1" applyAlignment="1">
      <alignment vertical="center" wrapText="1"/>
    </xf>
    <xf numFmtId="0" fontId="26" fillId="12" borderId="17" xfId="0" applyFont="1" applyFill="1" applyBorder="1" applyAlignment="1">
      <alignment horizontal="center" vertical="center"/>
    </xf>
    <xf numFmtId="0" fontId="26" fillId="12" borderId="12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/>
    </xf>
    <xf numFmtId="0" fontId="26" fillId="13" borderId="13" xfId="0" applyFont="1" applyFill="1" applyBorder="1" applyAlignment="1">
      <alignment horizontal="center" vertical="center"/>
    </xf>
    <xf numFmtId="0" fontId="26" fillId="13" borderId="18" xfId="0" applyFont="1" applyFill="1" applyBorder="1" applyAlignment="1">
      <alignment horizontal="center" vertical="center"/>
    </xf>
    <xf numFmtId="0" fontId="25" fillId="11" borderId="17" xfId="2" applyFont="1" applyFill="1" applyBorder="1" applyAlignment="1">
      <alignment horizontal="center" vertical="center"/>
    </xf>
    <xf numFmtId="0" fontId="24" fillId="12" borderId="17" xfId="0" applyFont="1" applyFill="1" applyBorder="1" applyAlignment="1">
      <alignment horizontal="left" vertical="center"/>
    </xf>
    <xf numFmtId="0" fontId="24" fillId="14" borderId="17" xfId="0" applyFont="1" applyFill="1" applyBorder="1" applyAlignment="1">
      <alignment horizontal="left" vertical="center"/>
    </xf>
    <xf numFmtId="0" fontId="26" fillId="13" borderId="12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/>
    </xf>
    <xf numFmtId="0" fontId="26" fillId="14" borderId="13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8" fillId="9" borderId="18" xfId="0" applyFont="1" applyFill="1" applyBorder="1" applyAlignment="1">
      <alignment vertical="center" wrapText="1"/>
    </xf>
    <xf numFmtId="0" fontId="24" fillId="12" borderId="22" xfId="0" applyFont="1" applyFill="1" applyBorder="1" applyAlignment="1">
      <alignment horizontal="left" vertical="center"/>
    </xf>
    <xf numFmtId="0" fontId="29" fillId="12" borderId="14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30" fillId="0" borderId="0" xfId="0" applyFont="1"/>
    <xf numFmtId="0" fontId="21" fillId="7" borderId="1" xfId="0" applyFont="1" applyFill="1" applyBorder="1" applyAlignment="1">
      <alignment vertical="center"/>
    </xf>
    <xf numFmtId="0" fontId="21" fillId="8" borderId="1" xfId="0" applyFont="1" applyFill="1" applyBorder="1" applyAlignment="1">
      <alignment vertical="center"/>
    </xf>
    <xf numFmtId="1" fontId="0" fillId="0" borderId="1" xfId="0" applyNumberFormat="1" applyBorder="1"/>
    <xf numFmtId="0" fontId="31" fillId="0" borderId="1" xfId="0" applyFont="1" applyBorder="1" applyAlignment="1">
      <alignment vertical="center"/>
    </xf>
    <xf numFmtId="0" fontId="31" fillId="0" borderId="1" xfId="0" applyFont="1" applyBorder="1"/>
    <xf numFmtId="0" fontId="23" fillId="10" borderId="23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0" fontId="0" fillId="0" borderId="0" xfId="0" quotePrefix="1"/>
    <xf numFmtId="0" fontId="4" fillId="0" borderId="1" xfId="1" applyFont="1" applyBorder="1" applyAlignment="1">
      <alignment vertical="top"/>
    </xf>
    <xf numFmtId="0" fontId="4" fillId="0" borderId="1" xfId="1" applyFont="1" applyBorder="1" applyAlignment="1">
      <alignment horizontal="left" vertical="top"/>
    </xf>
    <xf numFmtId="0" fontId="5" fillId="0" borderId="0" xfId="1" applyFont="1" applyAlignment="1">
      <alignment horizontal="center" vertical="top" wrapText="1"/>
    </xf>
    <xf numFmtId="0" fontId="6" fillId="3" borderId="1" xfId="1" applyFont="1" applyFill="1" applyBorder="1" applyAlignment="1">
      <alignment horizontal="center" vertical="top"/>
    </xf>
    <xf numFmtId="0" fontId="4" fillId="0" borderId="0" xfId="1" applyFont="1" applyAlignment="1">
      <alignment horizontal="center" vertical="top"/>
    </xf>
    <xf numFmtId="0" fontId="5" fillId="0" borderId="0" xfId="1" applyFont="1" applyAlignment="1">
      <alignment vertical="top" wrapText="1"/>
    </xf>
    <xf numFmtId="0" fontId="6" fillId="5" borderId="1" xfId="1" applyFont="1" applyFill="1" applyBorder="1" applyAlignment="1">
      <alignment vertical="top"/>
    </xf>
    <xf numFmtId="0" fontId="4" fillId="0" borderId="0" xfId="1" applyFont="1" applyAlignment="1">
      <alignment vertical="top"/>
    </xf>
    <xf numFmtId="9" fontId="4" fillId="0" borderId="1" xfId="1" applyNumberFormat="1" applyFont="1" applyBorder="1" applyAlignment="1">
      <alignment horizontal="left" vertical="top" wrapText="1"/>
    </xf>
    <xf numFmtId="1" fontId="6" fillId="5" borderId="1" xfId="1" applyNumberFormat="1" applyFont="1" applyFill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 wrapText="1"/>
    </xf>
    <xf numFmtId="0" fontId="5" fillId="0" borderId="0" xfId="1" applyFont="1" applyAlignment="1">
      <alignment horizontal="left" vertical="top" wrapText="1"/>
    </xf>
    <xf numFmtId="2" fontId="4" fillId="2" borderId="1" xfId="1" applyNumberFormat="1" applyFont="1" applyFill="1" applyBorder="1" applyAlignment="1">
      <alignment horizontal="left" vertical="top" wrapText="1"/>
    </xf>
    <xf numFmtId="1" fontId="4" fillId="2" borderId="1" xfId="1" applyNumberFormat="1" applyFont="1" applyFill="1" applyBorder="1" applyAlignment="1">
      <alignment horizontal="left" vertical="top" wrapText="1"/>
    </xf>
    <xf numFmtId="1" fontId="6" fillId="5" borderId="1" xfId="1" applyNumberFormat="1" applyFont="1" applyFill="1" applyBorder="1" applyAlignment="1">
      <alignment horizontal="left" vertical="top"/>
    </xf>
    <xf numFmtId="1" fontId="4" fillId="0" borderId="1" xfId="1" applyNumberFormat="1" applyFont="1" applyBorder="1" applyAlignment="1">
      <alignment horizontal="left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164" fontId="4" fillId="0" borderId="0" xfId="1" applyNumberFormat="1" applyFont="1" applyAlignment="1">
      <alignment horizontal="left" vertical="top"/>
    </xf>
    <xf numFmtId="164" fontId="4" fillId="15" borderId="0" xfId="1" applyNumberFormat="1" applyFont="1" applyFill="1" applyAlignment="1">
      <alignment horizontal="left" vertical="top"/>
    </xf>
    <xf numFmtId="0" fontId="4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top"/>
    </xf>
    <xf numFmtId="2" fontId="6" fillId="4" borderId="1" xfId="1" applyNumberFormat="1" applyFont="1" applyFill="1" applyBorder="1" applyAlignment="1">
      <alignment horizontal="center" vertical="top" wrapText="1"/>
    </xf>
    <xf numFmtId="0" fontId="4" fillId="8" borderId="0" xfId="1" applyFont="1" applyFill="1" applyAlignment="1">
      <alignment horizontal="center" vertical="top" wrapText="1"/>
    </xf>
    <xf numFmtId="0" fontId="0" fillId="0" borderId="0" xfId="0" applyAlignment="1">
      <alignment wrapText="1"/>
    </xf>
    <xf numFmtId="0" fontId="15" fillId="6" borderId="5" xfId="2" applyFont="1" applyFill="1" applyBorder="1" applyAlignment="1">
      <alignment horizontal="left"/>
    </xf>
    <xf numFmtId="0" fontId="2" fillId="6" borderId="0" xfId="2" applyFill="1" applyAlignment="1">
      <alignment horizontal="left"/>
    </xf>
    <xf numFmtId="0" fontId="9" fillId="6" borderId="5" xfId="2" applyFont="1" applyFill="1" applyBorder="1" applyAlignment="1">
      <alignment horizontal="center"/>
    </xf>
    <xf numFmtId="0" fontId="9" fillId="6" borderId="0" xfId="2" applyFont="1" applyFill="1" applyAlignment="1">
      <alignment horizontal="center"/>
    </xf>
    <xf numFmtId="0" fontId="9" fillId="6" borderId="6" xfId="2" applyFont="1" applyFill="1" applyBorder="1" applyAlignment="1">
      <alignment horizontal="center"/>
    </xf>
    <xf numFmtId="0" fontId="11" fillId="6" borderId="5" xfId="2" applyFont="1" applyFill="1" applyBorder="1" applyAlignment="1">
      <alignment horizontal="center"/>
    </xf>
    <xf numFmtId="0" fontId="11" fillId="6" borderId="0" xfId="2" applyFont="1" applyFill="1" applyAlignment="1">
      <alignment horizontal="center"/>
    </xf>
    <xf numFmtId="0" fontId="11" fillId="6" borderId="6" xfId="2" applyFont="1" applyFill="1" applyBorder="1" applyAlignment="1">
      <alignment horizontal="center"/>
    </xf>
    <xf numFmtId="0" fontId="12" fillId="6" borderId="5" xfId="2" applyFont="1" applyFill="1" applyBorder="1" applyAlignment="1">
      <alignment horizontal="center" vertical="top" wrapText="1"/>
    </xf>
    <xf numFmtId="0" fontId="12" fillId="6" borderId="0" xfId="2" applyFont="1" applyFill="1" applyAlignment="1">
      <alignment horizontal="center" vertical="top" wrapText="1"/>
    </xf>
    <xf numFmtId="164" fontId="13" fillId="6" borderId="5" xfId="2" applyNumberFormat="1" applyFont="1" applyFill="1" applyBorder="1" applyAlignment="1">
      <alignment horizontal="center"/>
    </xf>
    <xf numFmtId="164" fontId="13" fillId="6" borderId="0" xfId="2" applyNumberFormat="1" applyFont="1" applyFill="1" applyAlignment="1">
      <alignment horizontal="center"/>
    </xf>
    <xf numFmtId="164" fontId="13" fillId="6" borderId="6" xfId="2" applyNumberFormat="1" applyFont="1" applyFill="1" applyBorder="1" applyAlignment="1">
      <alignment horizontal="center"/>
    </xf>
    <xf numFmtId="0" fontId="20" fillId="7" borderId="1" xfId="0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wrapText="1"/>
    </xf>
    <xf numFmtId="0" fontId="3" fillId="2" borderId="0" xfId="1" applyFont="1" applyFill="1" applyAlignment="1">
      <alignment horizontal="center" wrapText="1"/>
    </xf>
    <xf numFmtId="0" fontId="5" fillId="3" borderId="16" xfId="1" applyFont="1" applyFill="1" applyBorder="1" applyAlignment="1">
      <alignment horizontal="center" wrapText="1"/>
    </xf>
    <xf numFmtId="0" fontId="5" fillId="3" borderId="0" xfId="1" applyFont="1" applyFill="1" applyAlignment="1">
      <alignment horizontal="center" wrapText="1"/>
    </xf>
    <xf numFmtId="0" fontId="6" fillId="0" borderId="15" xfId="1" applyFont="1" applyBorder="1" applyAlignment="1">
      <alignment horizontal="center"/>
    </xf>
    <xf numFmtId="0" fontId="4" fillId="0" borderId="14" xfId="1" applyFont="1" applyBorder="1" applyAlignment="1">
      <alignment vertical="top"/>
    </xf>
    <xf numFmtId="0" fontId="4" fillId="0" borderId="10" xfId="1" applyFont="1" applyBorder="1" applyAlignment="1">
      <alignment vertical="top"/>
    </xf>
    <xf numFmtId="0" fontId="4" fillId="0" borderId="11" xfId="1" applyFont="1" applyBorder="1" applyAlignment="1">
      <alignment vertical="top"/>
    </xf>
    <xf numFmtId="9" fontId="4" fillId="0" borderId="14" xfId="1" applyNumberFormat="1" applyFont="1" applyBorder="1" applyAlignment="1">
      <alignment horizontal="left" vertical="top" wrapText="1"/>
    </xf>
    <xf numFmtId="9" fontId="4" fillId="0" borderId="10" xfId="1" applyNumberFormat="1" applyFont="1" applyBorder="1" applyAlignment="1">
      <alignment horizontal="left" vertical="top" wrapText="1"/>
    </xf>
    <xf numFmtId="9" fontId="4" fillId="0" borderId="11" xfId="1" applyNumberFormat="1" applyFont="1" applyBorder="1" applyAlignment="1">
      <alignment horizontal="left" vertical="top" wrapText="1"/>
    </xf>
    <xf numFmtId="2" fontId="4" fillId="2" borderId="14" xfId="1" applyNumberFormat="1" applyFont="1" applyFill="1" applyBorder="1" applyAlignment="1">
      <alignment horizontal="left" vertical="top" wrapText="1"/>
    </xf>
    <xf numFmtId="2" fontId="4" fillId="2" borderId="10" xfId="1" applyNumberFormat="1" applyFont="1" applyFill="1" applyBorder="1" applyAlignment="1">
      <alignment horizontal="left" vertical="top" wrapText="1"/>
    </xf>
    <xf numFmtId="2" fontId="4" fillId="2" borderId="11" xfId="1" applyNumberFormat="1" applyFont="1" applyFill="1" applyBorder="1" applyAlignment="1">
      <alignment horizontal="left" vertical="top" wrapText="1"/>
    </xf>
    <xf numFmtId="0" fontId="4" fillId="0" borderId="15" xfId="1" applyFont="1" applyBorder="1" applyAlignment="1">
      <alignment horizontal="center"/>
    </xf>
    <xf numFmtId="1" fontId="4" fillId="2" borderId="14" xfId="1" applyNumberFormat="1" applyFont="1" applyFill="1" applyBorder="1" applyAlignment="1">
      <alignment horizontal="left" vertical="top" wrapText="1"/>
    </xf>
    <xf numFmtId="1" fontId="4" fillId="2" borderId="10" xfId="1" applyNumberFormat="1" applyFont="1" applyFill="1" applyBorder="1" applyAlignment="1">
      <alignment horizontal="left" vertical="top" wrapText="1"/>
    </xf>
    <xf numFmtId="1" fontId="4" fillId="2" borderId="11" xfId="1" applyNumberFormat="1" applyFont="1" applyFill="1" applyBorder="1" applyAlignment="1">
      <alignment horizontal="left" vertical="top" wrapText="1"/>
    </xf>
    <xf numFmtId="0" fontId="4" fillId="0" borderId="1" xfId="1" applyFont="1" applyBorder="1" applyAlignment="1">
      <alignment vertical="top"/>
    </xf>
    <xf numFmtId="0" fontId="23" fillId="10" borderId="5" xfId="0" applyFont="1" applyFill="1" applyBorder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25" fillId="11" borderId="24" xfId="2" applyFont="1" applyFill="1" applyBorder="1" applyAlignment="1">
      <alignment horizontal="center" vertical="center"/>
    </xf>
    <xf numFmtId="0" fontId="25" fillId="11" borderId="25" xfId="2" applyFont="1" applyFill="1" applyBorder="1" applyAlignment="1">
      <alignment horizontal="center" vertical="center"/>
    </xf>
    <xf numFmtId="0" fontId="25" fillId="11" borderId="26" xfId="2" applyFont="1" applyFill="1" applyBorder="1" applyAlignment="1">
      <alignment horizontal="center" vertical="center"/>
    </xf>
    <xf numFmtId="0" fontId="23" fillId="10" borderId="20" xfId="0" applyFont="1" applyFill="1" applyBorder="1" applyAlignment="1">
      <alignment horizontal="center" vertical="center"/>
    </xf>
    <xf numFmtId="0" fontId="23" fillId="10" borderId="21" xfId="0" applyFont="1" applyFill="1" applyBorder="1" applyAlignment="1">
      <alignment horizontal="center" vertical="center"/>
    </xf>
    <xf numFmtId="0" fontId="2" fillId="0" borderId="6" xfId="2" applyBorder="1" applyAlignment="1"/>
  </cellXfs>
  <cellStyles count="13">
    <cellStyle name="Comma 2" xfId="5" xr:uid="{00000000-0005-0000-0000-000000000000}"/>
    <cellStyle name="Comma 2 2" xfId="6" xr:uid="{00000000-0005-0000-0000-000001000000}"/>
    <cellStyle name="Comma 3" xfId="7" xr:uid="{00000000-0005-0000-0000-000002000000}"/>
    <cellStyle name="Comma 4" xfId="8" xr:uid="{00000000-0005-0000-0000-000003000000}"/>
    <cellStyle name="Currency" xfId="12" builtinId="4"/>
    <cellStyle name="Hyperlink 2" xfId="9" xr:uid="{00000000-0005-0000-0000-000005000000}"/>
    <cellStyle name="Normal" xfId="0" builtinId="0"/>
    <cellStyle name="Normal 2" xfId="2" xr:uid="{00000000-0005-0000-0000-000007000000}"/>
    <cellStyle name="Normal 2 2" xfId="10" xr:uid="{00000000-0005-0000-0000-000008000000}"/>
    <cellStyle name="Normal 2_Cognizant PS Upgrade Effort Estimation V3_Final_Balaji" xfId="11" xr:uid="{00000000-0005-0000-0000-000009000000}"/>
    <cellStyle name="Normal 3" xfId="1" xr:uid="{00000000-0005-0000-0000-00000A000000}"/>
    <cellStyle name="Normal 4" xfId="3" xr:uid="{00000000-0005-0000-0000-00000B000000}"/>
    <cellStyle name="Normal 4 2" xfId="4" xr:uid="{00000000-0005-0000-0000-00000C000000}"/>
  </cellStyles>
  <dxfs count="0"/>
  <tableStyles count="0" defaultTableStyle="TableStyleMedium9" defaultPivotStyle="PivotStyleLight16"/>
  <colors>
    <mruColors>
      <color rgb="FF0000FF"/>
      <color rgb="FFEBF1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1</xdr:row>
      <xdr:rowOff>219075</xdr:rowOff>
    </xdr:from>
    <xdr:to>
      <xdr:col>6</xdr:col>
      <xdr:colOff>295275</xdr:colOff>
      <xdr:row>2</xdr:row>
      <xdr:rowOff>219075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3B76C5A-E5C1-4C44-B147-613F99AEE457}"/>
            </a:ext>
          </a:extLst>
        </xdr:cNvPr>
        <xdr:cNvSpPr txBox="1">
          <a:spLocks noChangeArrowheads="1"/>
        </xdr:cNvSpPr>
      </xdr:nvSpPr>
      <xdr:spPr bwMode="auto">
        <a:xfrm>
          <a:off x="962025" y="454025"/>
          <a:ext cx="5676900" cy="228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0" rIns="91440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969696"/>
              </a:solidFill>
              <a:latin typeface="Arial"/>
              <a:cs typeface="Arial"/>
            </a:rPr>
            <a:t>Controlled copy</a:t>
          </a:r>
        </a:p>
        <a:p>
          <a:pPr algn="ctr" rtl="0">
            <a:defRPr sz="1000"/>
          </a:pPr>
          <a:endParaRPr lang="en-US" sz="1000" b="1" i="0" strike="noStrike">
            <a:solidFill>
              <a:srgbClr val="969696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314325</xdr:colOff>
      <xdr:row>14</xdr:row>
      <xdr:rowOff>142875</xdr:rowOff>
    </xdr:from>
    <xdr:to>
      <xdr:col>6</xdr:col>
      <xdr:colOff>0</xdr:colOff>
      <xdr:row>21</xdr:row>
      <xdr:rowOff>152400</xdr:rowOff>
    </xdr:to>
    <xdr:pic>
      <xdr:nvPicPr>
        <xdr:cNvPr id="3" name="Picture 2" descr="content">
          <a:extLst>
            <a:ext uri="{FF2B5EF4-FFF2-40B4-BE49-F238E27FC236}">
              <a16:creationId xmlns:a16="http://schemas.microsoft.com/office/drawing/2014/main" id="{FC25A5A5-4D13-4F54-AD59-4FB3B8F8A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2499" b="83333"/>
        <a:stretch>
          <a:fillRect/>
        </a:stretch>
      </xdr:blipFill>
      <xdr:spPr bwMode="auto">
        <a:xfrm>
          <a:off x="625475" y="2930525"/>
          <a:ext cx="5718175" cy="1120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200025</xdr:rowOff>
    </xdr:from>
    <xdr:to>
      <xdr:col>6</xdr:col>
      <xdr:colOff>647700</xdr:colOff>
      <xdr:row>1</xdr:row>
      <xdr:rowOff>200025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AAF61AE7-542C-4E6E-9E7C-4C8A07E7B192}"/>
            </a:ext>
          </a:extLst>
        </xdr:cNvPr>
        <xdr:cNvSpPr>
          <a:spLocks noChangeShapeType="1"/>
        </xdr:cNvSpPr>
      </xdr:nvSpPr>
      <xdr:spPr bwMode="auto">
        <a:xfrm>
          <a:off x="311150" y="434975"/>
          <a:ext cx="668020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200025</xdr:rowOff>
    </xdr:from>
    <xdr:to>
      <xdr:col>6</xdr:col>
      <xdr:colOff>638175</xdr:colOff>
      <xdr:row>2</xdr:row>
      <xdr:rowOff>200025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6E72D7BD-2D32-4529-A775-806FAEAB77E1}"/>
            </a:ext>
          </a:extLst>
        </xdr:cNvPr>
        <xdr:cNvSpPr>
          <a:spLocks noChangeShapeType="1"/>
        </xdr:cNvSpPr>
      </xdr:nvSpPr>
      <xdr:spPr bwMode="auto">
        <a:xfrm>
          <a:off x="311150" y="663575"/>
          <a:ext cx="6670675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/>
        </a:ln>
      </xdr:spPr>
    </xdr:sp>
    <xdr:clientData/>
  </xdr:twoCellAnchor>
  <xdr:twoCellAnchor>
    <xdr:from>
      <xdr:col>1</xdr:col>
      <xdr:colOff>114300</xdr:colOff>
      <xdr:row>1</xdr:row>
      <xdr:rowOff>85725</xdr:rowOff>
    </xdr:from>
    <xdr:to>
      <xdr:col>2</xdr:col>
      <xdr:colOff>38100</xdr:colOff>
      <xdr:row>3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8342FC-0802-48B0-8257-36F781F4C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5450" y="320675"/>
          <a:ext cx="46990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504825</xdr:colOff>
      <xdr:row>28</xdr:row>
      <xdr:rowOff>0</xdr:rowOff>
    </xdr:from>
    <xdr:to>
      <xdr:col>4</xdr:col>
      <xdr:colOff>581025</xdr:colOff>
      <xdr:row>28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BC4D570A-D37C-4AED-AB4E-60F5CA66C9D7}"/>
            </a:ext>
          </a:extLst>
        </xdr:cNvPr>
        <xdr:cNvSpPr txBox="1">
          <a:spLocks noChangeArrowheads="1"/>
        </xdr:cNvSpPr>
      </xdr:nvSpPr>
      <xdr:spPr bwMode="auto">
        <a:xfrm>
          <a:off x="2162175" y="5048250"/>
          <a:ext cx="2832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C3 Protected</a:t>
          </a:r>
        </a:p>
      </xdr:txBody>
    </xdr:sp>
    <xdr:clientData/>
  </xdr:twoCellAnchor>
  <xdr:twoCellAnchor>
    <xdr:from>
      <xdr:col>2</xdr:col>
      <xdr:colOff>104775</xdr:colOff>
      <xdr:row>1</xdr:row>
      <xdr:rowOff>219075</xdr:rowOff>
    </xdr:from>
    <xdr:to>
      <xdr:col>6</xdr:col>
      <xdr:colOff>295275</xdr:colOff>
      <xdr:row>2</xdr:row>
      <xdr:rowOff>219075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73CBDF09-0B1A-4E31-82F9-C1D03F13F01C}"/>
            </a:ext>
          </a:extLst>
        </xdr:cNvPr>
        <xdr:cNvSpPr txBox="1">
          <a:spLocks noChangeArrowheads="1"/>
        </xdr:cNvSpPr>
      </xdr:nvSpPr>
      <xdr:spPr bwMode="auto">
        <a:xfrm>
          <a:off x="962025" y="454025"/>
          <a:ext cx="5676900" cy="228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0" rIns="91440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969696"/>
              </a:solidFill>
              <a:latin typeface="Arial"/>
              <a:cs typeface="Arial"/>
            </a:rPr>
            <a:t>Controlled copy</a:t>
          </a:r>
        </a:p>
        <a:p>
          <a:pPr algn="ctr" rtl="0">
            <a:defRPr sz="1000"/>
          </a:pPr>
          <a:endParaRPr lang="en-US" sz="1000" b="1" i="0" strike="noStrike">
            <a:solidFill>
              <a:srgbClr val="969696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314325</xdr:colOff>
      <xdr:row>14</xdr:row>
      <xdr:rowOff>142875</xdr:rowOff>
    </xdr:from>
    <xdr:to>
      <xdr:col>6</xdr:col>
      <xdr:colOff>0</xdr:colOff>
      <xdr:row>21</xdr:row>
      <xdr:rowOff>152400</xdr:rowOff>
    </xdr:to>
    <xdr:pic>
      <xdr:nvPicPr>
        <xdr:cNvPr id="9" name="Picture 8" descr="content">
          <a:extLst>
            <a:ext uri="{FF2B5EF4-FFF2-40B4-BE49-F238E27FC236}">
              <a16:creationId xmlns:a16="http://schemas.microsoft.com/office/drawing/2014/main" id="{F35377BD-9D07-4364-92D9-78C3BABBD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2499" b="83333"/>
        <a:stretch>
          <a:fillRect/>
        </a:stretch>
      </xdr:blipFill>
      <xdr:spPr bwMode="auto">
        <a:xfrm>
          <a:off x="625475" y="2930525"/>
          <a:ext cx="5718175" cy="1120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200025</xdr:rowOff>
    </xdr:from>
    <xdr:to>
      <xdr:col>6</xdr:col>
      <xdr:colOff>647700</xdr:colOff>
      <xdr:row>1</xdr:row>
      <xdr:rowOff>200025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335AA804-6E74-458B-BF08-983CECD7C14E}"/>
            </a:ext>
          </a:extLst>
        </xdr:cNvPr>
        <xdr:cNvSpPr>
          <a:spLocks noChangeShapeType="1"/>
        </xdr:cNvSpPr>
      </xdr:nvSpPr>
      <xdr:spPr bwMode="auto">
        <a:xfrm>
          <a:off x="311150" y="434975"/>
          <a:ext cx="668020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200025</xdr:rowOff>
    </xdr:from>
    <xdr:to>
      <xdr:col>6</xdr:col>
      <xdr:colOff>638175</xdr:colOff>
      <xdr:row>2</xdr:row>
      <xdr:rowOff>200025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BCD354AE-BBA1-45F7-AB34-B565CB568792}"/>
            </a:ext>
          </a:extLst>
        </xdr:cNvPr>
        <xdr:cNvSpPr>
          <a:spLocks noChangeShapeType="1"/>
        </xdr:cNvSpPr>
      </xdr:nvSpPr>
      <xdr:spPr bwMode="auto">
        <a:xfrm>
          <a:off x="311150" y="663575"/>
          <a:ext cx="6670675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/>
        </a:ln>
      </xdr:spPr>
    </xdr:sp>
    <xdr:clientData/>
  </xdr:twoCellAnchor>
  <xdr:twoCellAnchor>
    <xdr:from>
      <xdr:col>1</xdr:col>
      <xdr:colOff>114300</xdr:colOff>
      <xdr:row>1</xdr:row>
      <xdr:rowOff>85725</xdr:rowOff>
    </xdr:from>
    <xdr:to>
      <xdr:col>2</xdr:col>
      <xdr:colOff>38100</xdr:colOff>
      <xdr:row>3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B2EA31C-FE93-4B01-816E-36F8E6337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5450" y="320675"/>
          <a:ext cx="46990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504825</xdr:colOff>
      <xdr:row>28</xdr:row>
      <xdr:rowOff>0</xdr:rowOff>
    </xdr:from>
    <xdr:to>
      <xdr:col>4</xdr:col>
      <xdr:colOff>581025</xdr:colOff>
      <xdr:row>28</xdr:row>
      <xdr:rowOff>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7614FCBE-6A8D-4161-9D56-9C0D9F82016A}"/>
            </a:ext>
          </a:extLst>
        </xdr:cNvPr>
        <xdr:cNvSpPr txBox="1">
          <a:spLocks noChangeArrowheads="1"/>
        </xdr:cNvSpPr>
      </xdr:nvSpPr>
      <xdr:spPr bwMode="auto">
        <a:xfrm>
          <a:off x="2162175" y="5048250"/>
          <a:ext cx="2832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C3 Protected</a:t>
          </a:r>
        </a:p>
      </xdr:txBody>
    </xdr:sp>
    <xdr:clientData/>
  </xdr:twoCellAnchor>
  <xdr:twoCellAnchor>
    <xdr:from>
      <xdr:col>2</xdr:col>
      <xdr:colOff>104775</xdr:colOff>
      <xdr:row>1</xdr:row>
      <xdr:rowOff>219075</xdr:rowOff>
    </xdr:from>
    <xdr:to>
      <xdr:col>6</xdr:col>
      <xdr:colOff>295275</xdr:colOff>
      <xdr:row>2</xdr:row>
      <xdr:rowOff>219075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6F1C152-D392-45DD-85ED-5809F4F6FDE6}"/>
            </a:ext>
          </a:extLst>
        </xdr:cNvPr>
        <xdr:cNvSpPr txBox="1">
          <a:spLocks noChangeArrowheads="1"/>
        </xdr:cNvSpPr>
      </xdr:nvSpPr>
      <xdr:spPr bwMode="auto">
        <a:xfrm>
          <a:off x="962025" y="454025"/>
          <a:ext cx="5676900" cy="228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0" rIns="91440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969696"/>
              </a:solidFill>
              <a:latin typeface="Arial"/>
              <a:cs typeface="Arial"/>
            </a:rPr>
            <a:t>Controlled copy</a:t>
          </a:r>
        </a:p>
        <a:p>
          <a:pPr algn="ctr" rtl="0">
            <a:defRPr sz="1000"/>
          </a:pPr>
          <a:endParaRPr lang="en-US" sz="1000" b="1" i="0" strike="noStrike">
            <a:solidFill>
              <a:srgbClr val="969696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314325</xdr:colOff>
      <xdr:row>14</xdr:row>
      <xdr:rowOff>142875</xdr:rowOff>
    </xdr:from>
    <xdr:to>
      <xdr:col>6</xdr:col>
      <xdr:colOff>0</xdr:colOff>
      <xdr:row>21</xdr:row>
      <xdr:rowOff>152400</xdr:rowOff>
    </xdr:to>
    <xdr:pic>
      <xdr:nvPicPr>
        <xdr:cNvPr id="15" name="Picture 14" descr="content">
          <a:extLst>
            <a:ext uri="{FF2B5EF4-FFF2-40B4-BE49-F238E27FC236}">
              <a16:creationId xmlns:a16="http://schemas.microsoft.com/office/drawing/2014/main" id="{62727DB0-E262-4544-8A92-4966BF205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2499" b="83333"/>
        <a:stretch>
          <a:fillRect/>
        </a:stretch>
      </xdr:blipFill>
      <xdr:spPr bwMode="auto">
        <a:xfrm>
          <a:off x="625475" y="2930525"/>
          <a:ext cx="5718175" cy="1120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200025</xdr:rowOff>
    </xdr:from>
    <xdr:to>
      <xdr:col>6</xdr:col>
      <xdr:colOff>647700</xdr:colOff>
      <xdr:row>1</xdr:row>
      <xdr:rowOff>200025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808F0294-C190-4A24-83A4-B73768C911BA}"/>
            </a:ext>
          </a:extLst>
        </xdr:cNvPr>
        <xdr:cNvSpPr>
          <a:spLocks noChangeShapeType="1"/>
        </xdr:cNvSpPr>
      </xdr:nvSpPr>
      <xdr:spPr bwMode="auto">
        <a:xfrm>
          <a:off x="311150" y="434975"/>
          <a:ext cx="668020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200025</xdr:rowOff>
    </xdr:from>
    <xdr:to>
      <xdr:col>6</xdr:col>
      <xdr:colOff>638175</xdr:colOff>
      <xdr:row>2</xdr:row>
      <xdr:rowOff>200025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5F4B2BAA-67F8-4FD4-A177-FE58CD0646E0}"/>
            </a:ext>
          </a:extLst>
        </xdr:cNvPr>
        <xdr:cNvSpPr>
          <a:spLocks noChangeShapeType="1"/>
        </xdr:cNvSpPr>
      </xdr:nvSpPr>
      <xdr:spPr bwMode="auto">
        <a:xfrm>
          <a:off x="311150" y="663575"/>
          <a:ext cx="6670675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/>
        </a:ln>
      </xdr:spPr>
    </xdr:sp>
    <xdr:clientData/>
  </xdr:twoCellAnchor>
  <xdr:twoCellAnchor>
    <xdr:from>
      <xdr:col>1</xdr:col>
      <xdr:colOff>114300</xdr:colOff>
      <xdr:row>1</xdr:row>
      <xdr:rowOff>85725</xdr:rowOff>
    </xdr:from>
    <xdr:to>
      <xdr:col>2</xdr:col>
      <xdr:colOff>38100</xdr:colOff>
      <xdr:row>3</xdr:row>
      <xdr:rowOff>76200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6F1EADB-6AF8-47CB-8725-0466105AC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5450" y="320675"/>
          <a:ext cx="46990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504825</xdr:colOff>
      <xdr:row>28</xdr:row>
      <xdr:rowOff>0</xdr:rowOff>
    </xdr:from>
    <xdr:to>
      <xdr:col>4</xdr:col>
      <xdr:colOff>581025</xdr:colOff>
      <xdr:row>28</xdr:row>
      <xdr:rowOff>0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463197B0-D847-4811-848B-36231F402C37}"/>
            </a:ext>
          </a:extLst>
        </xdr:cNvPr>
        <xdr:cNvSpPr txBox="1">
          <a:spLocks noChangeArrowheads="1"/>
        </xdr:cNvSpPr>
      </xdr:nvSpPr>
      <xdr:spPr bwMode="auto">
        <a:xfrm>
          <a:off x="2162175" y="5048250"/>
          <a:ext cx="2832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C3 Protected</a:t>
          </a:r>
        </a:p>
      </xdr:txBody>
    </xdr:sp>
    <xdr:clientData/>
  </xdr:twoCellAnchor>
  <xdr:twoCellAnchor>
    <xdr:from>
      <xdr:col>2</xdr:col>
      <xdr:colOff>104775</xdr:colOff>
      <xdr:row>1</xdr:row>
      <xdr:rowOff>219075</xdr:rowOff>
    </xdr:from>
    <xdr:to>
      <xdr:col>6</xdr:col>
      <xdr:colOff>295275</xdr:colOff>
      <xdr:row>2</xdr:row>
      <xdr:rowOff>219075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1C91643C-04AB-498E-B915-A0784586F05F}"/>
            </a:ext>
          </a:extLst>
        </xdr:cNvPr>
        <xdr:cNvSpPr txBox="1">
          <a:spLocks noChangeArrowheads="1"/>
        </xdr:cNvSpPr>
      </xdr:nvSpPr>
      <xdr:spPr bwMode="auto">
        <a:xfrm>
          <a:off x="962025" y="454025"/>
          <a:ext cx="5676900" cy="228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0" rIns="91440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969696"/>
              </a:solidFill>
              <a:latin typeface="Arial"/>
              <a:cs typeface="Arial"/>
            </a:rPr>
            <a:t>Controlled copy</a:t>
          </a:r>
        </a:p>
        <a:p>
          <a:pPr algn="ctr" rtl="0">
            <a:defRPr sz="1000"/>
          </a:pPr>
          <a:endParaRPr lang="en-US" sz="1000" b="1" i="0" strike="noStrike">
            <a:solidFill>
              <a:srgbClr val="969696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314325</xdr:colOff>
      <xdr:row>14</xdr:row>
      <xdr:rowOff>142875</xdr:rowOff>
    </xdr:from>
    <xdr:to>
      <xdr:col>6</xdr:col>
      <xdr:colOff>0</xdr:colOff>
      <xdr:row>21</xdr:row>
      <xdr:rowOff>152400</xdr:rowOff>
    </xdr:to>
    <xdr:pic>
      <xdr:nvPicPr>
        <xdr:cNvPr id="21" name="Picture 20" descr="content">
          <a:extLst>
            <a:ext uri="{FF2B5EF4-FFF2-40B4-BE49-F238E27FC236}">
              <a16:creationId xmlns:a16="http://schemas.microsoft.com/office/drawing/2014/main" id="{44EF04E8-0781-40BE-8BEC-19F3879CC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2499" b="83333"/>
        <a:stretch>
          <a:fillRect/>
        </a:stretch>
      </xdr:blipFill>
      <xdr:spPr bwMode="auto">
        <a:xfrm>
          <a:off x="625475" y="2930525"/>
          <a:ext cx="5718175" cy="1120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200025</xdr:rowOff>
    </xdr:from>
    <xdr:to>
      <xdr:col>6</xdr:col>
      <xdr:colOff>647700</xdr:colOff>
      <xdr:row>1</xdr:row>
      <xdr:rowOff>200025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73726806-27C9-482D-996F-F4A134DF05CA}"/>
            </a:ext>
          </a:extLst>
        </xdr:cNvPr>
        <xdr:cNvSpPr>
          <a:spLocks noChangeShapeType="1"/>
        </xdr:cNvSpPr>
      </xdr:nvSpPr>
      <xdr:spPr bwMode="auto">
        <a:xfrm>
          <a:off x="311150" y="434975"/>
          <a:ext cx="6680200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200025</xdr:rowOff>
    </xdr:from>
    <xdr:to>
      <xdr:col>6</xdr:col>
      <xdr:colOff>638175</xdr:colOff>
      <xdr:row>2</xdr:row>
      <xdr:rowOff>200025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CA9F8E6B-F88A-4798-BC69-28952B7FC54D}"/>
            </a:ext>
          </a:extLst>
        </xdr:cNvPr>
        <xdr:cNvSpPr>
          <a:spLocks noChangeShapeType="1"/>
        </xdr:cNvSpPr>
      </xdr:nvSpPr>
      <xdr:spPr bwMode="auto">
        <a:xfrm>
          <a:off x="311150" y="663575"/>
          <a:ext cx="6670675" cy="0"/>
        </a:xfrm>
        <a:prstGeom prst="line">
          <a:avLst/>
        </a:prstGeom>
        <a:noFill/>
        <a:ln w="9525">
          <a:solidFill>
            <a:srgbClr val="969696"/>
          </a:solidFill>
          <a:round/>
          <a:headEnd/>
          <a:tailEnd/>
        </a:ln>
      </xdr:spPr>
    </xdr:sp>
    <xdr:clientData/>
  </xdr:twoCellAnchor>
  <xdr:twoCellAnchor>
    <xdr:from>
      <xdr:col>1</xdr:col>
      <xdr:colOff>114300</xdr:colOff>
      <xdr:row>1</xdr:row>
      <xdr:rowOff>85725</xdr:rowOff>
    </xdr:from>
    <xdr:to>
      <xdr:col>2</xdr:col>
      <xdr:colOff>38100</xdr:colOff>
      <xdr:row>3</xdr:row>
      <xdr:rowOff>76200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39D4A0A-A889-42BB-952C-0AD6BF3BA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5450" y="320675"/>
          <a:ext cx="46990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504825</xdr:colOff>
      <xdr:row>28</xdr:row>
      <xdr:rowOff>0</xdr:rowOff>
    </xdr:from>
    <xdr:to>
      <xdr:col>4</xdr:col>
      <xdr:colOff>581025</xdr:colOff>
      <xdr:row>28</xdr:row>
      <xdr:rowOff>0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35E383D9-86C7-465B-A4B2-321E3E5C56AE}"/>
            </a:ext>
          </a:extLst>
        </xdr:cNvPr>
        <xdr:cNvSpPr txBox="1">
          <a:spLocks noChangeArrowheads="1"/>
        </xdr:cNvSpPr>
      </xdr:nvSpPr>
      <xdr:spPr bwMode="auto">
        <a:xfrm>
          <a:off x="2162175" y="5048250"/>
          <a:ext cx="2832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C3 Protected</a:t>
          </a:r>
        </a:p>
      </xdr:txBody>
    </xdr:sp>
    <xdr:clientData/>
  </xdr:twoCellAnchor>
  <xdr:twoCellAnchor>
    <xdr:from>
      <xdr:col>1</xdr:col>
      <xdr:colOff>66675</xdr:colOff>
      <xdr:row>28</xdr:row>
      <xdr:rowOff>38100</xdr:rowOff>
    </xdr:from>
    <xdr:to>
      <xdr:col>7</xdr:col>
      <xdr:colOff>0</xdr:colOff>
      <xdr:row>30</xdr:row>
      <xdr:rowOff>104775</xdr:rowOff>
    </xdr:to>
    <xdr:pic>
      <xdr:nvPicPr>
        <xdr:cNvPr id="26" name="Picture 25" descr="footer">
          <a:extLst>
            <a:ext uri="{FF2B5EF4-FFF2-40B4-BE49-F238E27FC236}">
              <a16:creationId xmlns:a16="http://schemas.microsoft.com/office/drawing/2014/main" id="{EE646186-F22C-41B9-8502-F7CBD7848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77825" y="5086350"/>
          <a:ext cx="6911975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2</xdr:row>
      <xdr:rowOff>123825</xdr:rowOff>
    </xdr:to>
    <xdr:pic>
      <xdr:nvPicPr>
        <xdr:cNvPr id="2" name="Picture 1" descr="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45720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457200</xdr:colOff>
      <xdr:row>2</xdr:row>
      <xdr:rowOff>123825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457200" cy="4895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644524</xdr:colOff>
      <xdr:row>1</xdr:row>
      <xdr:rowOff>1589</xdr:rowOff>
    </xdr:from>
    <xdr:to>
      <xdr:col>21</xdr:col>
      <xdr:colOff>655636</xdr:colOff>
      <xdr:row>2</xdr:row>
      <xdr:rowOff>0</xdr:rowOff>
    </xdr:to>
    <xdr:sp macro="" textlink="">
      <xdr:nvSpPr>
        <xdr:cNvPr id="2" name="TextBox 19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1548744" y="54929"/>
          <a:ext cx="1039812" cy="15081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24</xdr:col>
      <xdr:colOff>0</xdr:colOff>
      <xdr:row>1</xdr:row>
      <xdr:rowOff>1589</xdr:rowOff>
    </xdr:from>
    <xdr:to>
      <xdr:col>24</xdr:col>
      <xdr:colOff>0</xdr:colOff>
      <xdr:row>2</xdr:row>
      <xdr:rowOff>0</xdr:rowOff>
    </xdr:to>
    <xdr:sp macro="" textlink="">
      <xdr:nvSpPr>
        <xdr:cNvPr id="6" name="TextBox 19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11609704" y="54929"/>
          <a:ext cx="445452" cy="15081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24</xdr:col>
      <xdr:colOff>0</xdr:colOff>
      <xdr:row>9</xdr:row>
      <xdr:rowOff>1589</xdr:rowOff>
    </xdr:from>
    <xdr:to>
      <xdr:col>24</xdr:col>
      <xdr:colOff>0</xdr:colOff>
      <xdr:row>10</xdr:row>
      <xdr:rowOff>153988</xdr:rowOff>
    </xdr:to>
    <xdr:sp macro="" textlink="">
      <xdr:nvSpPr>
        <xdr:cNvPr id="8" name="TextBox 19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11609704" y="1357949"/>
          <a:ext cx="445452" cy="3047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20</xdr:col>
      <xdr:colOff>644524</xdr:colOff>
      <xdr:row>19</xdr:row>
      <xdr:rowOff>1589</xdr:rowOff>
    </xdr:from>
    <xdr:to>
      <xdr:col>21</xdr:col>
      <xdr:colOff>655636</xdr:colOff>
      <xdr:row>20</xdr:row>
      <xdr:rowOff>0</xdr:rowOff>
    </xdr:to>
    <xdr:sp macro="" textlink="">
      <xdr:nvSpPr>
        <xdr:cNvPr id="5" name="TextBox 19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1609704" y="54929"/>
          <a:ext cx="445452" cy="15081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15</xdr:col>
      <xdr:colOff>0</xdr:colOff>
      <xdr:row>19</xdr:row>
      <xdr:rowOff>1589</xdr:rowOff>
    </xdr:from>
    <xdr:to>
      <xdr:col>15</xdr:col>
      <xdr:colOff>0</xdr:colOff>
      <xdr:row>20</xdr:row>
      <xdr:rowOff>153988</xdr:rowOff>
    </xdr:to>
    <xdr:sp macro="" textlink="">
      <xdr:nvSpPr>
        <xdr:cNvPr id="9" name="TextBox 1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12563475" y="1430339"/>
          <a:ext cx="0" cy="3047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21</xdr:col>
      <xdr:colOff>0</xdr:colOff>
      <xdr:row>19</xdr:row>
      <xdr:rowOff>1589</xdr:rowOff>
    </xdr:from>
    <xdr:to>
      <xdr:col>21</xdr:col>
      <xdr:colOff>0</xdr:colOff>
      <xdr:row>20</xdr:row>
      <xdr:rowOff>153988</xdr:rowOff>
    </xdr:to>
    <xdr:sp macro="" textlink="">
      <xdr:nvSpPr>
        <xdr:cNvPr id="10" name="TextBox 1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15420975" y="1430339"/>
          <a:ext cx="0" cy="3047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7</xdr:col>
      <xdr:colOff>0</xdr:colOff>
      <xdr:row>22</xdr:row>
      <xdr:rowOff>1589</xdr:rowOff>
    </xdr:from>
    <xdr:to>
      <xdr:col>7</xdr:col>
      <xdr:colOff>0</xdr:colOff>
      <xdr:row>23</xdr:row>
      <xdr:rowOff>153988</xdr:rowOff>
    </xdr:to>
    <xdr:sp macro="" textlink="">
      <xdr:nvSpPr>
        <xdr:cNvPr id="11" name="TextBox 19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12563475" y="1430339"/>
          <a:ext cx="0" cy="3047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13</xdr:col>
      <xdr:colOff>0</xdr:colOff>
      <xdr:row>22</xdr:row>
      <xdr:rowOff>1589</xdr:rowOff>
    </xdr:from>
    <xdr:to>
      <xdr:col>13</xdr:col>
      <xdr:colOff>0</xdr:colOff>
      <xdr:row>23</xdr:row>
      <xdr:rowOff>153988</xdr:rowOff>
    </xdr:to>
    <xdr:sp macro="" textlink="">
      <xdr:nvSpPr>
        <xdr:cNvPr id="12" name="TextBox 19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15420975" y="1430339"/>
          <a:ext cx="0" cy="3047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14</xdr:col>
      <xdr:colOff>0</xdr:colOff>
      <xdr:row>19</xdr:row>
      <xdr:rowOff>1589</xdr:rowOff>
    </xdr:from>
    <xdr:to>
      <xdr:col>14</xdr:col>
      <xdr:colOff>0</xdr:colOff>
      <xdr:row>20</xdr:row>
      <xdr:rowOff>153988</xdr:rowOff>
    </xdr:to>
    <xdr:sp macro="" textlink="">
      <xdr:nvSpPr>
        <xdr:cNvPr id="13" name="TextBox 19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8705850" y="2887664"/>
          <a:ext cx="0" cy="35242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20</xdr:col>
      <xdr:colOff>0</xdr:colOff>
      <xdr:row>19</xdr:row>
      <xdr:rowOff>1589</xdr:rowOff>
    </xdr:from>
    <xdr:to>
      <xdr:col>20</xdr:col>
      <xdr:colOff>0</xdr:colOff>
      <xdr:row>20</xdr:row>
      <xdr:rowOff>153988</xdr:rowOff>
    </xdr:to>
    <xdr:sp macro="" textlink="">
      <xdr:nvSpPr>
        <xdr:cNvPr id="14" name="TextBox 19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11277600" y="2887664"/>
          <a:ext cx="0" cy="35242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7</xdr:col>
      <xdr:colOff>0</xdr:colOff>
      <xdr:row>22</xdr:row>
      <xdr:rowOff>1589</xdr:rowOff>
    </xdr:from>
    <xdr:to>
      <xdr:col>7</xdr:col>
      <xdr:colOff>0</xdr:colOff>
      <xdr:row>23</xdr:row>
      <xdr:rowOff>153988</xdr:rowOff>
    </xdr:to>
    <xdr:sp macro="" textlink="">
      <xdr:nvSpPr>
        <xdr:cNvPr id="15" name="TextBox 19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8705850" y="2887664"/>
          <a:ext cx="0" cy="35242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13</xdr:col>
      <xdr:colOff>0</xdr:colOff>
      <xdr:row>22</xdr:row>
      <xdr:rowOff>1589</xdr:rowOff>
    </xdr:from>
    <xdr:to>
      <xdr:col>13</xdr:col>
      <xdr:colOff>0</xdr:colOff>
      <xdr:row>23</xdr:row>
      <xdr:rowOff>153988</xdr:rowOff>
    </xdr:to>
    <xdr:sp macro="" textlink="">
      <xdr:nvSpPr>
        <xdr:cNvPr id="16" name="TextBox 19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11277600" y="2887664"/>
          <a:ext cx="0" cy="35242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6</xdr:col>
      <xdr:colOff>0</xdr:colOff>
      <xdr:row>22</xdr:row>
      <xdr:rowOff>1589</xdr:rowOff>
    </xdr:from>
    <xdr:to>
      <xdr:col>6</xdr:col>
      <xdr:colOff>0</xdr:colOff>
      <xdr:row>23</xdr:row>
      <xdr:rowOff>153988</xdr:rowOff>
    </xdr:to>
    <xdr:sp macro="" textlink="">
      <xdr:nvSpPr>
        <xdr:cNvPr id="17" name="TextBox 19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8277225" y="2887664"/>
          <a:ext cx="0" cy="35242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12</xdr:col>
      <xdr:colOff>0</xdr:colOff>
      <xdr:row>22</xdr:row>
      <xdr:rowOff>1589</xdr:rowOff>
    </xdr:from>
    <xdr:to>
      <xdr:col>12</xdr:col>
      <xdr:colOff>0</xdr:colOff>
      <xdr:row>23</xdr:row>
      <xdr:rowOff>153988</xdr:rowOff>
    </xdr:to>
    <xdr:sp macro="" textlink="">
      <xdr:nvSpPr>
        <xdr:cNvPr id="18" name="TextBox 19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10848975" y="2887664"/>
          <a:ext cx="0" cy="35242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3</xdr:col>
      <xdr:colOff>0</xdr:colOff>
      <xdr:row>19</xdr:row>
      <xdr:rowOff>1589</xdr:rowOff>
    </xdr:from>
    <xdr:to>
      <xdr:col>5</xdr:col>
      <xdr:colOff>381000</xdr:colOff>
      <xdr:row>20</xdr:row>
      <xdr:rowOff>171450</xdr:rowOff>
    </xdr:to>
    <xdr:sp macro="" textlink="">
      <xdr:nvSpPr>
        <xdr:cNvPr id="19" name="TextBox 19">
          <a:extLst>
            <a:ext uri="{FF2B5EF4-FFF2-40B4-BE49-F238E27FC236}">
              <a16:creationId xmlns:a16="http://schemas.microsoft.com/office/drawing/2014/main" id="{F1D21709-F1E2-482A-B9FC-C849995A72EF}"/>
            </a:ext>
          </a:extLst>
        </xdr:cNvPr>
        <xdr:cNvSpPr txBox="1"/>
      </xdr:nvSpPr>
      <xdr:spPr>
        <a:xfrm>
          <a:off x="3562350" y="3268664"/>
          <a:ext cx="1238250" cy="36036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9</xdr:col>
      <xdr:colOff>0</xdr:colOff>
      <xdr:row>19</xdr:row>
      <xdr:rowOff>1589</xdr:rowOff>
    </xdr:from>
    <xdr:to>
      <xdr:col>9</xdr:col>
      <xdr:colOff>0</xdr:colOff>
      <xdr:row>20</xdr:row>
      <xdr:rowOff>153988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E8B01BE-49F0-4CE3-A14F-5F898D72589D}"/>
            </a:ext>
          </a:extLst>
        </xdr:cNvPr>
        <xdr:cNvSpPr txBox="1"/>
      </xdr:nvSpPr>
      <xdr:spPr>
        <a:xfrm>
          <a:off x="11277600" y="2887664"/>
          <a:ext cx="0" cy="35242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8</xdr:col>
      <xdr:colOff>0</xdr:colOff>
      <xdr:row>19</xdr:row>
      <xdr:rowOff>1589</xdr:rowOff>
    </xdr:from>
    <xdr:to>
      <xdr:col>8</xdr:col>
      <xdr:colOff>0</xdr:colOff>
      <xdr:row>20</xdr:row>
      <xdr:rowOff>153988</xdr:rowOff>
    </xdr:to>
    <xdr:sp macro="" textlink="">
      <xdr:nvSpPr>
        <xdr:cNvPr id="21" name="TextBox 19">
          <a:extLst>
            <a:ext uri="{FF2B5EF4-FFF2-40B4-BE49-F238E27FC236}">
              <a16:creationId xmlns:a16="http://schemas.microsoft.com/office/drawing/2014/main" id="{8DD68E21-46C3-41B7-BDE8-821BC25D2266}"/>
            </a:ext>
          </a:extLst>
        </xdr:cNvPr>
        <xdr:cNvSpPr txBox="1"/>
      </xdr:nvSpPr>
      <xdr:spPr>
        <a:xfrm>
          <a:off x="10848975" y="2887664"/>
          <a:ext cx="0" cy="35242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3</xdr:col>
      <xdr:colOff>0</xdr:colOff>
      <xdr:row>22</xdr:row>
      <xdr:rowOff>1589</xdr:rowOff>
    </xdr:from>
    <xdr:to>
      <xdr:col>3</xdr:col>
      <xdr:colOff>0</xdr:colOff>
      <xdr:row>23</xdr:row>
      <xdr:rowOff>153988</xdr:rowOff>
    </xdr:to>
    <xdr:sp macro="" textlink="">
      <xdr:nvSpPr>
        <xdr:cNvPr id="22" name="TextBox 19">
          <a:extLst>
            <a:ext uri="{FF2B5EF4-FFF2-40B4-BE49-F238E27FC236}">
              <a16:creationId xmlns:a16="http://schemas.microsoft.com/office/drawing/2014/main" id="{9823F793-7BA9-4D84-ABD8-C6A23F15911F}"/>
            </a:ext>
          </a:extLst>
        </xdr:cNvPr>
        <xdr:cNvSpPr txBox="1"/>
      </xdr:nvSpPr>
      <xdr:spPr>
        <a:xfrm>
          <a:off x="8705850" y="2887664"/>
          <a:ext cx="0" cy="3428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9</xdr:col>
      <xdr:colOff>0</xdr:colOff>
      <xdr:row>22</xdr:row>
      <xdr:rowOff>1589</xdr:rowOff>
    </xdr:from>
    <xdr:to>
      <xdr:col>9</xdr:col>
      <xdr:colOff>0</xdr:colOff>
      <xdr:row>23</xdr:row>
      <xdr:rowOff>153988</xdr:rowOff>
    </xdr:to>
    <xdr:sp macro="" textlink="">
      <xdr:nvSpPr>
        <xdr:cNvPr id="23" name="TextBox 19">
          <a:extLst>
            <a:ext uri="{FF2B5EF4-FFF2-40B4-BE49-F238E27FC236}">
              <a16:creationId xmlns:a16="http://schemas.microsoft.com/office/drawing/2014/main" id="{796C474E-FFC6-4995-8C32-F469E9012C4E}"/>
            </a:ext>
          </a:extLst>
        </xdr:cNvPr>
        <xdr:cNvSpPr txBox="1"/>
      </xdr:nvSpPr>
      <xdr:spPr>
        <a:xfrm>
          <a:off x="11277600" y="2887664"/>
          <a:ext cx="0" cy="3428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8</xdr:col>
      <xdr:colOff>0</xdr:colOff>
      <xdr:row>22</xdr:row>
      <xdr:rowOff>1589</xdr:rowOff>
    </xdr:from>
    <xdr:to>
      <xdr:col>8</xdr:col>
      <xdr:colOff>0</xdr:colOff>
      <xdr:row>23</xdr:row>
      <xdr:rowOff>153988</xdr:rowOff>
    </xdr:to>
    <xdr:sp macro="" textlink="">
      <xdr:nvSpPr>
        <xdr:cNvPr id="24" name="TextBox 19">
          <a:extLst>
            <a:ext uri="{FF2B5EF4-FFF2-40B4-BE49-F238E27FC236}">
              <a16:creationId xmlns:a16="http://schemas.microsoft.com/office/drawing/2014/main" id="{8FE1CEE6-90DC-41DC-8C6E-E28263D9E145}"/>
            </a:ext>
          </a:extLst>
        </xdr:cNvPr>
        <xdr:cNvSpPr txBox="1"/>
      </xdr:nvSpPr>
      <xdr:spPr>
        <a:xfrm>
          <a:off x="10848975" y="2887664"/>
          <a:ext cx="0" cy="3428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15</xdr:col>
      <xdr:colOff>0</xdr:colOff>
      <xdr:row>22</xdr:row>
      <xdr:rowOff>1589</xdr:rowOff>
    </xdr:from>
    <xdr:to>
      <xdr:col>15</xdr:col>
      <xdr:colOff>0</xdr:colOff>
      <xdr:row>23</xdr:row>
      <xdr:rowOff>153988</xdr:rowOff>
    </xdr:to>
    <xdr:sp macro="" textlink="">
      <xdr:nvSpPr>
        <xdr:cNvPr id="26" name="TextBox 19">
          <a:extLst>
            <a:ext uri="{FF2B5EF4-FFF2-40B4-BE49-F238E27FC236}">
              <a16:creationId xmlns:a16="http://schemas.microsoft.com/office/drawing/2014/main" id="{B078BF0F-C0C4-416E-924C-5B0B40657F7C}"/>
            </a:ext>
          </a:extLst>
        </xdr:cNvPr>
        <xdr:cNvSpPr txBox="1"/>
      </xdr:nvSpPr>
      <xdr:spPr>
        <a:xfrm>
          <a:off x="8705850" y="3268664"/>
          <a:ext cx="0" cy="3428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14</xdr:col>
      <xdr:colOff>0</xdr:colOff>
      <xdr:row>22</xdr:row>
      <xdr:rowOff>1589</xdr:rowOff>
    </xdr:from>
    <xdr:to>
      <xdr:col>14</xdr:col>
      <xdr:colOff>0</xdr:colOff>
      <xdr:row>23</xdr:row>
      <xdr:rowOff>153988</xdr:rowOff>
    </xdr:to>
    <xdr:sp macro="" textlink="">
      <xdr:nvSpPr>
        <xdr:cNvPr id="27" name="TextBox 19">
          <a:extLst>
            <a:ext uri="{FF2B5EF4-FFF2-40B4-BE49-F238E27FC236}">
              <a16:creationId xmlns:a16="http://schemas.microsoft.com/office/drawing/2014/main" id="{EF85E3F7-CDA3-44B1-9699-52B29BE15375}"/>
            </a:ext>
          </a:extLst>
        </xdr:cNvPr>
        <xdr:cNvSpPr txBox="1"/>
      </xdr:nvSpPr>
      <xdr:spPr>
        <a:xfrm>
          <a:off x="8277225" y="3268664"/>
          <a:ext cx="0" cy="3428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3</xdr:col>
      <xdr:colOff>0</xdr:colOff>
      <xdr:row>22</xdr:row>
      <xdr:rowOff>1589</xdr:rowOff>
    </xdr:from>
    <xdr:to>
      <xdr:col>5</xdr:col>
      <xdr:colOff>381000</xdr:colOff>
      <xdr:row>23</xdr:row>
      <xdr:rowOff>171450</xdr:rowOff>
    </xdr:to>
    <xdr:sp macro="" textlink="">
      <xdr:nvSpPr>
        <xdr:cNvPr id="28" name="TextBox 19">
          <a:extLst>
            <a:ext uri="{FF2B5EF4-FFF2-40B4-BE49-F238E27FC236}">
              <a16:creationId xmlns:a16="http://schemas.microsoft.com/office/drawing/2014/main" id="{C0E82085-0554-478A-AD17-F249822BF3DB}"/>
            </a:ext>
          </a:extLst>
        </xdr:cNvPr>
        <xdr:cNvSpPr txBox="1"/>
      </xdr:nvSpPr>
      <xdr:spPr>
        <a:xfrm>
          <a:off x="3562350" y="3268664"/>
          <a:ext cx="1238250" cy="36036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9</xdr:col>
      <xdr:colOff>0</xdr:colOff>
      <xdr:row>22</xdr:row>
      <xdr:rowOff>1589</xdr:rowOff>
    </xdr:from>
    <xdr:to>
      <xdr:col>9</xdr:col>
      <xdr:colOff>0</xdr:colOff>
      <xdr:row>23</xdr:row>
      <xdr:rowOff>153988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4623C19-BAC5-4DF9-A185-BA63CF0BD48B}"/>
            </a:ext>
          </a:extLst>
        </xdr:cNvPr>
        <xdr:cNvSpPr txBox="1"/>
      </xdr:nvSpPr>
      <xdr:spPr>
        <a:xfrm>
          <a:off x="6134100" y="3268664"/>
          <a:ext cx="0" cy="3428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8</xdr:col>
      <xdr:colOff>0</xdr:colOff>
      <xdr:row>22</xdr:row>
      <xdr:rowOff>1589</xdr:rowOff>
    </xdr:from>
    <xdr:to>
      <xdr:col>8</xdr:col>
      <xdr:colOff>0</xdr:colOff>
      <xdr:row>23</xdr:row>
      <xdr:rowOff>153988</xdr:rowOff>
    </xdr:to>
    <xdr:sp macro="" textlink="">
      <xdr:nvSpPr>
        <xdr:cNvPr id="30" name="TextBox 19">
          <a:extLst>
            <a:ext uri="{FF2B5EF4-FFF2-40B4-BE49-F238E27FC236}">
              <a16:creationId xmlns:a16="http://schemas.microsoft.com/office/drawing/2014/main" id="{0A96BEA3-977D-4122-9E5B-DCD67E54F4E7}"/>
            </a:ext>
          </a:extLst>
        </xdr:cNvPr>
        <xdr:cNvSpPr txBox="1"/>
      </xdr:nvSpPr>
      <xdr:spPr>
        <a:xfrm>
          <a:off x="5705475" y="3268664"/>
          <a:ext cx="0" cy="3428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355">
            <a:defRPr/>
          </a:pPr>
          <a:endParaRPr lang="en-US" sz="700">
            <a:solidFill>
              <a:prstClr val="black"/>
            </a:solidFill>
            <a:latin typeface="Arial Narrow"/>
            <a:cs typeface="Arial Narrow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542A-7C82-435C-9B5D-A17664E9EB1B}">
  <dimension ref="B1:L33"/>
  <sheetViews>
    <sheetView topLeftCell="A24" workbookViewId="0">
      <selection activeCell="J6" sqref="J6"/>
    </sheetView>
  </sheetViews>
  <sheetFormatPr defaultColWidth="9.85546875" defaultRowHeight="12.6"/>
  <cols>
    <col min="1" max="1" width="4.42578125" style="6" customWidth="1"/>
    <col min="2" max="2" width="7.85546875" style="6" customWidth="1"/>
    <col min="3" max="3" width="11.42578125" style="6" customWidth="1"/>
    <col min="4" max="4" width="39.42578125" style="6" customWidth="1"/>
    <col min="5" max="5" width="13.85546875" style="6" customWidth="1"/>
    <col min="6" max="6" width="13.85546875" style="7" customWidth="1"/>
    <col min="7" max="7" width="13.5703125" style="6" customWidth="1"/>
    <col min="8" max="16384" width="9.85546875" style="6"/>
  </cols>
  <sheetData>
    <row r="1" spans="2:7" ht="18.600000000000001" thickBot="1">
      <c r="B1" s="5"/>
      <c r="C1" s="5"/>
    </row>
    <row r="2" spans="2:7" ht="18">
      <c r="B2" s="8"/>
      <c r="C2" s="9"/>
      <c r="D2" s="10"/>
      <c r="E2" s="10"/>
      <c r="F2" s="11"/>
      <c r="G2" s="12"/>
    </row>
    <row r="3" spans="2:7" ht="18">
      <c r="B3" s="13"/>
      <c r="C3" s="5"/>
      <c r="G3" s="14"/>
    </row>
    <row r="4" spans="2:7" ht="15" customHeight="1">
      <c r="B4" s="13"/>
      <c r="C4" s="5"/>
      <c r="G4" s="14"/>
    </row>
    <row r="5" spans="2:7" ht="15.75" customHeight="1">
      <c r="B5" s="13"/>
      <c r="C5" s="5"/>
      <c r="G5" s="14"/>
    </row>
    <row r="6" spans="2:7" ht="9.75" customHeight="1">
      <c r="B6" s="114"/>
      <c r="C6" s="115"/>
      <c r="D6" s="115"/>
      <c r="E6" s="115"/>
      <c r="F6" s="115"/>
      <c r="G6" s="116"/>
    </row>
    <row r="7" spans="2:7" ht="7.5" customHeight="1">
      <c r="B7" s="114"/>
      <c r="C7" s="115"/>
      <c r="D7" s="115"/>
      <c r="E7" s="115"/>
      <c r="F7" s="115"/>
      <c r="G7" s="116"/>
    </row>
    <row r="8" spans="2:7" ht="22.5" customHeight="1">
      <c r="B8" s="114" t="s">
        <v>0</v>
      </c>
      <c r="C8" s="115"/>
      <c r="D8" s="115"/>
      <c r="E8" s="115"/>
      <c r="F8" s="115"/>
      <c r="G8" s="116"/>
    </row>
    <row r="9" spans="2:7" ht="24.95">
      <c r="B9" s="114"/>
      <c r="C9" s="115"/>
      <c r="D9" s="115"/>
      <c r="E9" s="115"/>
      <c r="F9" s="115"/>
      <c r="G9" s="116"/>
    </row>
    <row r="10" spans="2:7" ht="15.6">
      <c r="B10" s="15"/>
      <c r="C10" s="16"/>
      <c r="D10" s="16"/>
      <c r="E10" s="16"/>
      <c r="F10" s="16"/>
      <c r="G10" s="14"/>
    </row>
    <row r="11" spans="2:7" ht="18">
      <c r="B11" s="117" t="s">
        <v>1</v>
      </c>
      <c r="C11" s="118"/>
      <c r="D11" s="118"/>
      <c r="E11" s="118"/>
      <c r="F11" s="118"/>
      <c r="G11" s="119"/>
    </row>
    <row r="12" spans="2:7" ht="16.5" customHeight="1">
      <c r="B12" s="120"/>
      <c r="C12" s="121"/>
      <c r="D12" s="121"/>
      <c r="E12" s="121"/>
      <c r="F12" s="121"/>
      <c r="G12" s="152"/>
    </row>
    <row r="13" spans="2:7" ht="18.75" hidden="1" customHeight="1">
      <c r="B13" s="120"/>
      <c r="C13" s="121"/>
      <c r="D13" s="121"/>
      <c r="E13" s="121"/>
      <c r="F13" s="121"/>
      <c r="G13" s="152"/>
    </row>
    <row r="14" spans="2:7" ht="20.100000000000001">
      <c r="B14" s="122"/>
      <c r="C14" s="123"/>
      <c r="D14" s="123"/>
      <c r="E14" s="123"/>
      <c r="F14" s="123"/>
      <c r="G14" s="124"/>
    </row>
    <row r="15" spans="2:7">
      <c r="B15" s="17"/>
      <c r="C15" s="7"/>
      <c r="D15" s="7"/>
      <c r="E15" s="7"/>
      <c r="F15" s="6"/>
      <c r="G15" s="14"/>
    </row>
    <row r="16" spans="2:7">
      <c r="B16" s="18"/>
      <c r="F16" s="6"/>
      <c r="G16" s="14"/>
    </row>
    <row r="17" spans="2:12">
      <c r="B17" s="18"/>
      <c r="F17" s="6"/>
      <c r="G17" s="14"/>
    </row>
    <row r="18" spans="2:12">
      <c r="B18" s="18"/>
      <c r="F18" s="6"/>
      <c r="G18" s="14"/>
    </row>
    <row r="19" spans="2:12">
      <c r="B19" s="18"/>
      <c r="F19" s="6"/>
      <c r="G19" s="14"/>
    </row>
    <row r="20" spans="2:12">
      <c r="B20" s="18"/>
      <c r="F20" s="6"/>
      <c r="G20" s="14"/>
    </row>
    <row r="21" spans="2:12">
      <c r="B21" s="18"/>
      <c r="F21" s="6"/>
      <c r="G21" s="14"/>
      <c r="L21" s="19"/>
    </row>
    <row r="22" spans="2:12" ht="14.1">
      <c r="B22" s="112"/>
      <c r="C22" s="113"/>
      <c r="D22" s="113"/>
      <c r="E22" s="113"/>
      <c r="F22" s="113"/>
      <c r="G22" s="14"/>
      <c r="H22" s="4"/>
    </row>
    <row r="23" spans="2:12">
      <c r="B23" s="18"/>
      <c r="F23" s="6"/>
      <c r="G23" s="14"/>
    </row>
    <row r="24" spans="2:12">
      <c r="B24" s="18"/>
      <c r="F24" s="6"/>
      <c r="G24" s="14"/>
    </row>
    <row r="25" spans="2:12">
      <c r="B25" s="18"/>
      <c r="F25" s="6"/>
      <c r="G25" s="14"/>
    </row>
    <row r="26" spans="2:12" s="20" customFormat="1" ht="12.95">
      <c r="B26" s="18"/>
      <c r="C26" s="21"/>
      <c r="D26" s="6"/>
      <c r="F26" s="22"/>
      <c r="G26" s="14"/>
    </row>
    <row r="27" spans="2:12" s="20" customFormat="1" ht="12.95">
      <c r="B27" s="23"/>
      <c r="C27" s="24"/>
      <c r="D27" s="6"/>
      <c r="F27" s="22"/>
      <c r="G27" s="25"/>
    </row>
    <row r="28" spans="2:12" s="20" customFormat="1" ht="12.95">
      <c r="B28" s="26"/>
      <c r="C28" s="24"/>
      <c r="D28" s="6"/>
      <c r="F28" s="27"/>
      <c r="G28" s="25"/>
    </row>
    <row r="29" spans="2:12" ht="12.75" customHeight="1">
      <c r="B29" s="18"/>
      <c r="G29" s="14"/>
    </row>
    <row r="30" spans="2:12" ht="12.95">
      <c r="B30" s="28"/>
      <c r="C30" s="29"/>
      <c r="D30" s="24"/>
      <c r="G30" s="14"/>
    </row>
    <row r="31" spans="2:12" ht="12.95">
      <c r="B31" s="30"/>
      <c r="G31" s="14"/>
    </row>
    <row r="32" spans="2:12">
      <c r="B32" s="26"/>
      <c r="F32" s="27"/>
      <c r="G32" s="14"/>
    </row>
    <row r="33" spans="2:7" ht="12.95" thickBot="1">
      <c r="B33" s="31"/>
      <c r="C33" s="32"/>
      <c r="D33" s="32"/>
      <c r="E33" s="32"/>
      <c r="F33" s="33"/>
      <c r="G33" s="34"/>
    </row>
  </sheetData>
  <mergeCells count="7">
    <mergeCell ref="B22:F22"/>
    <mergeCell ref="B6:G7"/>
    <mergeCell ref="B8:G8"/>
    <mergeCell ref="B9:G9"/>
    <mergeCell ref="B11:G11"/>
    <mergeCell ref="B12:G13"/>
    <mergeCell ref="B14:G14"/>
  </mergeCells>
  <pageMargins left="0.75" right="0.75" top="1" bottom="1" header="0.5" footer="0.5"/>
  <pageSetup orientation="portrait" horizontalDpi="90" verticalDpi="9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4"/>
  <sheetViews>
    <sheetView tabSelected="1" topLeftCell="A14" workbookViewId="0">
      <selection activeCell="I18" sqref="I18"/>
    </sheetView>
  </sheetViews>
  <sheetFormatPr defaultColWidth="8.85546875" defaultRowHeight="14.45"/>
  <cols>
    <col min="1" max="1" width="12.42578125" customWidth="1"/>
    <col min="2" max="2" width="13.140625" customWidth="1"/>
    <col min="3" max="3" width="24.5703125" customWidth="1"/>
    <col min="4" max="4" width="17.85546875" customWidth="1"/>
    <col min="5" max="6" width="19" bestFit="1" customWidth="1"/>
    <col min="7" max="7" width="8.42578125" customWidth="1"/>
    <col min="251" max="251" width="24.140625" customWidth="1"/>
    <col min="252" max="252" width="34.85546875" customWidth="1"/>
    <col min="253" max="253" width="18.5703125" customWidth="1"/>
    <col min="254" max="254" width="22" customWidth="1"/>
    <col min="255" max="255" width="9.85546875" customWidth="1"/>
    <col min="258" max="259" width="25.42578125" customWidth="1"/>
    <col min="507" max="507" width="24.140625" customWidth="1"/>
    <col min="508" max="508" width="34.85546875" customWidth="1"/>
    <col min="509" max="509" width="18.5703125" customWidth="1"/>
    <col min="510" max="510" width="22" customWidth="1"/>
    <col min="511" max="511" width="9.85546875" customWidth="1"/>
    <col min="514" max="515" width="25.42578125" customWidth="1"/>
    <col min="763" max="763" width="24.140625" customWidth="1"/>
    <col min="764" max="764" width="34.85546875" customWidth="1"/>
    <col min="765" max="765" width="18.5703125" customWidth="1"/>
    <col min="766" max="766" width="22" customWidth="1"/>
    <col min="767" max="767" width="9.85546875" customWidth="1"/>
    <col min="770" max="771" width="25.42578125" customWidth="1"/>
    <col min="1019" max="1019" width="24.140625" customWidth="1"/>
    <col min="1020" max="1020" width="34.85546875" customWidth="1"/>
    <col min="1021" max="1021" width="18.5703125" customWidth="1"/>
    <col min="1022" max="1022" width="22" customWidth="1"/>
    <col min="1023" max="1023" width="9.85546875" customWidth="1"/>
    <col min="1026" max="1027" width="25.42578125" customWidth="1"/>
    <col min="1275" max="1275" width="24.140625" customWidth="1"/>
    <col min="1276" max="1276" width="34.85546875" customWidth="1"/>
    <col min="1277" max="1277" width="18.5703125" customWidth="1"/>
    <col min="1278" max="1278" width="22" customWidth="1"/>
    <col min="1279" max="1279" width="9.85546875" customWidth="1"/>
    <col min="1282" max="1283" width="25.42578125" customWidth="1"/>
    <col min="1531" max="1531" width="24.140625" customWidth="1"/>
    <col min="1532" max="1532" width="34.85546875" customWidth="1"/>
    <col min="1533" max="1533" width="18.5703125" customWidth="1"/>
    <col min="1534" max="1534" width="22" customWidth="1"/>
    <col min="1535" max="1535" width="9.85546875" customWidth="1"/>
    <col min="1538" max="1539" width="25.42578125" customWidth="1"/>
    <col min="1787" max="1787" width="24.140625" customWidth="1"/>
    <col min="1788" max="1788" width="34.85546875" customWidth="1"/>
    <col min="1789" max="1789" width="18.5703125" customWidth="1"/>
    <col min="1790" max="1790" width="22" customWidth="1"/>
    <col min="1791" max="1791" width="9.85546875" customWidth="1"/>
    <col min="1794" max="1795" width="25.42578125" customWidth="1"/>
    <col min="2043" max="2043" width="24.140625" customWidth="1"/>
    <col min="2044" max="2044" width="34.85546875" customWidth="1"/>
    <col min="2045" max="2045" width="18.5703125" customWidth="1"/>
    <col min="2046" max="2046" width="22" customWidth="1"/>
    <col min="2047" max="2047" width="9.85546875" customWidth="1"/>
    <col min="2050" max="2051" width="25.42578125" customWidth="1"/>
    <col min="2299" max="2299" width="24.140625" customWidth="1"/>
    <col min="2300" max="2300" width="34.85546875" customWidth="1"/>
    <col min="2301" max="2301" width="18.5703125" customWidth="1"/>
    <col min="2302" max="2302" width="22" customWidth="1"/>
    <col min="2303" max="2303" width="9.85546875" customWidth="1"/>
    <col min="2306" max="2307" width="25.42578125" customWidth="1"/>
    <col min="2555" max="2555" width="24.140625" customWidth="1"/>
    <col min="2556" max="2556" width="34.85546875" customWidth="1"/>
    <col min="2557" max="2557" width="18.5703125" customWidth="1"/>
    <col min="2558" max="2558" width="22" customWidth="1"/>
    <col min="2559" max="2559" width="9.85546875" customWidth="1"/>
    <col min="2562" max="2563" width="25.42578125" customWidth="1"/>
    <col min="2811" max="2811" width="24.140625" customWidth="1"/>
    <col min="2812" max="2812" width="34.85546875" customWidth="1"/>
    <col min="2813" max="2813" width="18.5703125" customWidth="1"/>
    <col min="2814" max="2814" width="22" customWidth="1"/>
    <col min="2815" max="2815" width="9.85546875" customWidth="1"/>
    <col min="2818" max="2819" width="25.42578125" customWidth="1"/>
    <col min="3067" max="3067" width="24.140625" customWidth="1"/>
    <col min="3068" max="3068" width="34.85546875" customWidth="1"/>
    <col min="3069" max="3069" width="18.5703125" customWidth="1"/>
    <col min="3070" max="3070" width="22" customWidth="1"/>
    <col min="3071" max="3071" width="9.85546875" customWidth="1"/>
    <col min="3074" max="3075" width="25.42578125" customWidth="1"/>
    <col min="3323" max="3323" width="24.140625" customWidth="1"/>
    <col min="3324" max="3324" width="34.85546875" customWidth="1"/>
    <col min="3325" max="3325" width="18.5703125" customWidth="1"/>
    <col min="3326" max="3326" width="22" customWidth="1"/>
    <col min="3327" max="3327" width="9.85546875" customWidth="1"/>
    <col min="3330" max="3331" width="25.42578125" customWidth="1"/>
    <col min="3579" max="3579" width="24.140625" customWidth="1"/>
    <col min="3580" max="3580" width="34.85546875" customWidth="1"/>
    <col min="3581" max="3581" width="18.5703125" customWidth="1"/>
    <col min="3582" max="3582" width="22" customWidth="1"/>
    <col min="3583" max="3583" width="9.85546875" customWidth="1"/>
    <col min="3586" max="3587" width="25.42578125" customWidth="1"/>
    <col min="3835" max="3835" width="24.140625" customWidth="1"/>
    <col min="3836" max="3836" width="34.85546875" customWidth="1"/>
    <col min="3837" max="3837" width="18.5703125" customWidth="1"/>
    <col min="3838" max="3838" width="22" customWidth="1"/>
    <col min="3839" max="3839" width="9.85546875" customWidth="1"/>
    <col min="3842" max="3843" width="25.42578125" customWidth="1"/>
    <col min="4091" max="4091" width="24.140625" customWidth="1"/>
    <col min="4092" max="4092" width="34.85546875" customWidth="1"/>
    <col min="4093" max="4093" width="18.5703125" customWidth="1"/>
    <col min="4094" max="4094" width="22" customWidth="1"/>
    <col min="4095" max="4095" width="9.85546875" customWidth="1"/>
    <col min="4098" max="4099" width="25.42578125" customWidth="1"/>
    <col min="4347" max="4347" width="24.140625" customWidth="1"/>
    <col min="4348" max="4348" width="34.85546875" customWidth="1"/>
    <col min="4349" max="4349" width="18.5703125" customWidth="1"/>
    <col min="4350" max="4350" width="22" customWidth="1"/>
    <col min="4351" max="4351" width="9.85546875" customWidth="1"/>
    <col min="4354" max="4355" width="25.42578125" customWidth="1"/>
    <col min="4603" max="4603" width="24.140625" customWidth="1"/>
    <col min="4604" max="4604" width="34.85546875" customWidth="1"/>
    <col min="4605" max="4605" width="18.5703125" customWidth="1"/>
    <col min="4606" max="4606" width="22" customWidth="1"/>
    <col min="4607" max="4607" width="9.85546875" customWidth="1"/>
    <col min="4610" max="4611" width="25.42578125" customWidth="1"/>
    <col min="4859" max="4859" width="24.140625" customWidth="1"/>
    <col min="4860" max="4860" width="34.85546875" customWidth="1"/>
    <col min="4861" max="4861" width="18.5703125" customWidth="1"/>
    <col min="4862" max="4862" width="22" customWidth="1"/>
    <col min="4863" max="4863" width="9.85546875" customWidth="1"/>
    <col min="4866" max="4867" width="25.42578125" customWidth="1"/>
    <col min="5115" max="5115" width="24.140625" customWidth="1"/>
    <col min="5116" max="5116" width="34.85546875" customWidth="1"/>
    <col min="5117" max="5117" width="18.5703125" customWidth="1"/>
    <col min="5118" max="5118" width="22" customWidth="1"/>
    <col min="5119" max="5119" width="9.85546875" customWidth="1"/>
    <col min="5122" max="5123" width="25.42578125" customWidth="1"/>
    <col min="5371" max="5371" width="24.140625" customWidth="1"/>
    <col min="5372" max="5372" width="34.85546875" customWidth="1"/>
    <col min="5373" max="5373" width="18.5703125" customWidth="1"/>
    <col min="5374" max="5374" width="22" customWidth="1"/>
    <col min="5375" max="5375" width="9.85546875" customWidth="1"/>
    <col min="5378" max="5379" width="25.42578125" customWidth="1"/>
    <col min="5627" max="5627" width="24.140625" customWidth="1"/>
    <col min="5628" max="5628" width="34.85546875" customWidth="1"/>
    <col min="5629" max="5629" width="18.5703125" customWidth="1"/>
    <col min="5630" max="5630" width="22" customWidth="1"/>
    <col min="5631" max="5631" width="9.85546875" customWidth="1"/>
    <col min="5634" max="5635" width="25.42578125" customWidth="1"/>
    <col min="5883" max="5883" width="24.140625" customWidth="1"/>
    <col min="5884" max="5884" width="34.85546875" customWidth="1"/>
    <col min="5885" max="5885" width="18.5703125" customWidth="1"/>
    <col min="5886" max="5886" width="22" customWidth="1"/>
    <col min="5887" max="5887" width="9.85546875" customWidth="1"/>
    <col min="5890" max="5891" width="25.42578125" customWidth="1"/>
    <col min="6139" max="6139" width="24.140625" customWidth="1"/>
    <col min="6140" max="6140" width="34.85546875" customWidth="1"/>
    <col min="6141" max="6141" width="18.5703125" customWidth="1"/>
    <col min="6142" max="6142" width="22" customWidth="1"/>
    <col min="6143" max="6143" width="9.85546875" customWidth="1"/>
    <col min="6146" max="6147" width="25.42578125" customWidth="1"/>
    <col min="6395" max="6395" width="24.140625" customWidth="1"/>
    <col min="6396" max="6396" width="34.85546875" customWidth="1"/>
    <col min="6397" max="6397" width="18.5703125" customWidth="1"/>
    <col min="6398" max="6398" width="22" customWidth="1"/>
    <col min="6399" max="6399" width="9.85546875" customWidth="1"/>
    <col min="6402" max="6403" width="25.42578125" customWidth="1"/>
    <col min="6651" max="6651" width="24.140625" customWidth="1"/>
    <col min="6652" max="6652" width="34.85546875" customWidth="1"/>
    <col min="6653" max="6653" width="18.5703125" customWidth="1"/>
    <col min="6654" max="6654" width="22" customWidth="1"/>
    <col min="6655" max="6655" width="9.85546875" customWidth="1"/>
    <col min="6658" max="6659" width="25.42578125" customWidth="1"/>
    <col min="6907" max="6907" width="24.140625" customWidth="1"/>
    <col min="6908" max="6908" width="34.85546875" customWidth="1"/>
    <col min="6909" max="6909" width="18.5703125" customWidth="1"/>
    <col min="6910" max="6910" width="22" customWidth="1"/>
    <col min="6911" max="6911" width="9.85546875" customWidth="1"/>
    <col min="6914" max="6915" width="25.42578125" customWidth="1"/>
    <col min="7163" max="7163" width="24.140625" customWidth="1"/>
    <col min="7164" max="7164" width="34.85546875" customWidth="1"/>
    <col min="7165" max="7165" width="18.5703125" customWidth="1"/>
    <col min="7166" max="7166" width="22" customWidth="1"/>
    <col min="7167" max="7167" width="9.85546875" customWidth="1"/>
    <col min="7170" max="7171" width="25.42578125" customWidth="1"/>
    <col min="7419" max="7419" width="24.140625" customWidth="1"/>
    <col min="7420" max="7420" width="34.85546875" customWidth="1"/>
    <col min="7421" max="7421" width="18.5703125" customWidth="1"/>
    <col min="7422" max="7422" width="22" customWidth="1"/>
    <col min="7423" max="7423" width="9.85546875" customWidth="1"/>
    <col min="7426" max="7427" width="25.42578125" customWidth="1"/>
    <col min="7675" max="7675" width="24.140625" customWidth="1"/>
    <col min="7676" max="7676" width="34.85546875" customWidth="1"/>
    <col min="7677" max="7677" width="18.5703125" customWidth="1"/>
    <col min="7678" max="7678" width="22" customWidth="1"/>
    <col min="7679" max="7679" width="9.85546875" customWidth="1"/>
    <col min="7682" max="7683" width="25.42578125" customWidth="1"/>
    <col min="7931" max="7931" width="24.140625" customWidth="1"/>
    <col min="7932" max="7932" width="34.85546875" customWidth="1"/>
    <col min="7933" max="7933" width="18.5703125" customWidth="1"/>
    <col min="7934" max="7934" width="22" customWidth="1"/>
    <col min="7935" max="7935" width="9.85546875" customWidth="1"/>
    <col min="7938" max="7939" width="25.42578125" customWidth="1"/>
    <col min="8187" max="8187" width="24.140625" customWidth="1"/>
    <col min="8188" max="8188" width="34.85546875" customWidth="1"/>
    <col min="8189" max="8189" width="18.5703125" customWidth="1"/>
    <col min="8190" max="8190" width="22" customWidth="1"/>
    <col min="8191" max="8191" width="9.85546875" customWidth="1"/>
    <col min="8194" max="8195" width="25.42578125" customWidth="1"/>
    <col min="8443" max="8443" width="24.140625" customWidth="1"/>
    <col min="8444" max="8444" width="34.85546875" customWidth="1"/>
    <col min="8445" max="8445" width="18.5703125" customWidth="1"/>
    <col min="8446" max="8446" width="22" customWidth="1"/>
    <col min="8447" max="8447" width="9.85546875" customWidth="1"/>
    <col min="8450" max="8451" width="25.42578125" customWidth="1"/>
    <col min="8699" max="8699" width="24.140625" customWidth="1"/>
    <col min="8700" max="8700" width="34.85546875" customWidth="1"/>
    <col min="8701" max="8701" width="18.5703125" customWidth="1"/>
    <col min="8702" max="8702" width="22" customWidth="1"/>
    <col min="8703" max="8703" width="9.85546875" customWidth="1"/>
    <col min="8706" max="8707" width="25.42578125" customWidth="1"/>
    <col min="8955" max="8955" width="24.140625" customWidth="1"/>
    <col min="8956" max="8956" width="34.85546875" customWidth="1"/>
    <col min="8957" max="8957" width="18.5703125" customWidth="1"/>
    <col min="8958" max="8958" width="22" customWidth="1"/>
    <col min="8959" max="8959" width="9.85546875" customWidth="1"/>
    <col min="8962" max="8963" width="25.42578125" customWidth="1"/>
    <col min="9211" max="9211" width="24.140625" customWidth="1"/>
    <col min="9212" max="9212" width="34.85546875" customWidth="1"/>
    <col min="9213" max="9213" width="18.5703125" customWidth="1"/>
    <col min="9214" max="9214" width="22" customWidth="1"/>
    <col min="9215" max="9215" width="9.85546875" customWidth="1"/>
    <col min="9218" max="9219" width="25.42578125" customWidth="1"/>
    <col min="9467" max="9467" width="24.140625" customWidth="1"/>
    <col min="9468" max="9468" width="34.85546875" customWidth="1"/>
    <col min="9469" max="9469" width="18.5703125" customWidth="1"/>
    <col min="9470" max="9470" width="22" customWidth="1"/>
    <col min="9471" max="9471" width="9.85546875" customWidth="1"/>
    <col min="9474" max="9475" width="25.42578125" customWidth="1"/>
    <col min="9723" max="9723" width="24.140625" customWidth="1"/>
    <col min="9724" max="9724" width="34.85546875" customWidth="1"/>
    <col min="9725" max="9725" width="18.5703125" customWidth="1"/>
    <col min="9726" max="9726" width="22" customWidth="1"/>
    <col min="9727" max="9727" width="9.85546875" customWidth="1"/>
    <col min="9730" max="9731" width="25.42578125" customWidth="1"/>
    <col min="9979" max="9979" width="24.140625" customWidth="1"/>
    <col min="9980" max="9980" width="34.85546875" customWidth="1"/>
    <col min="9981" max="9981" width="18.5703125" customWidth="1"/>
    <col min="9982" max="9982" width="22" customWidth="1"/>
    <col min="9983" max="9983" width="9.85546875" customWidth="1"/>
    <col min="9986" max="9987" width="25.42578125" customWidth="1"/>
    <col min="10235" max="10235" width="24.140625" customWidth="1"/>
    <col min="10236" max="10236" width="34.85546875" customWidth="1"/>
    <col min="10237" max="10237" width="18.5703125" customWidth="1"/>
    <col min="10238" max="10238" width="22" customWidth="1"/>
    <col min="10239" max="10239" width="9.85546875" customWidth="1"/>
    <col min="10242" max="10243" width="25.42578125" customWidth="1"/>
    <col min="10491" max="10491" width="24.140625" customWidth="1"/>
    <col min="10492" max="10492" width="34.85546875" customWidth="1"/>
    <col min="10493" max="10493" width="18.5703125" customWidth="1"/>
    <col min="10494" max="10494" width="22" customWidth="1"/>
    <col min="10495" max="10495" width="9.85546875" customWidth="1"/>
    <col min="10498" max="10499" width="25.42578125" customWidth="1"/>
    <col min="10747" max="10747" width="24.140625" customWidth="1"/>
    <col min="10748" max="10748" width="34.85546875" customWidth="1"/>
    <col min="10749" max="10749" width="18.5703125" customWidth="1"/>
    <col min="10750" max="10750" width="22" customWidth="1"/>
    <col min="10751" max="10751" width="9.85546875" customWidth="1"/>
    <col min="10754" max="10755" width="25.42578125" customWidth="1"/>
    <col min="11003" max="11003" width="24.140625" customWidth="1"/>
    <col min="11004" max="11004" width="34.85546875" customWidth="1"/>
    <col min="11005" max="11005" width="18.5703125" customWidth="1"/>
    <col min="11006" max="11006" width="22" customWidth="1"/>
    <col min="11007" max="11007" width="9.85546875" customWidth="1"/>
    <col min="11010" max="11011" width="25.42578125" customWidth="1"/>
    <col min="11259" max="11259" width="24.140625" customWidth="1"/>
    <col min="11260" max="11260" width="34.85546875" customWidth="1"/>
    <col min="11261" max="11261" width="18.5703125" customWidth="1"/>
    <col min="11262" max="11262" width="22" customWidth="1"/>
    <col min="11263" max="11263" width="9.85546875" customWidth="1"/>
    <col min="11266" max="11267" width="25.42578125" customWidth="1"/>
    <col min="11515" max="11515" width="24.140625" customWidth="1"/>
    <col min="11516" max="11516" width="34.85546875" customWidth="1"/>
    <col min="11517" max="11517" width="18.5703125" customWidth="1"/>
    <col min="11518" max="11518" width="22" customWidth="1"/>
    <col min="11519" max="11519" width="9.85546875" customWidth="1"/>
    <col min="11522" max="11523" width="25.42578125" customWidth="1"/>
    <col min="11771" max="11771" width="24.140625" customWidth="1"/>
    <col min="11772" max="11772" width="34.85546875" customWidth="1"/>
    <col min="11773" max="11773" width="18.5703125" customWidth="1"/>
    <col min="11774" max="11774" width="22" customWidth="1"/>
    <col min="11775" max="11775" width="9.85546875" customWidth="1"/>
    <col min="11778" max="11779" width="25.42578125" customWidth="1"/>
    <col min="12027" max="12027" width="24.140625" customWidth="1"/>
    <col min="12028" max="12028" width="34.85546875" customWidth="1"/>
    <col min="12029" max="12029" width="18.5703125" customWidth="1"/>
    <col min="12030" max="12030" width="22" customWidth="1"/>
    <col min="12031" max="12031" width="9.85546875" customWidth="1"/>
    <col min="12034" max="12035" width="25.42578125" customWidth="1"/>
    <col min="12283" max="12283" width="24.140625" customWidth="1"/>
    <col min="12284" max="12284" width="34.85546875" customWidth="1"/>
    <col min="12285" max="12285" width="18.5703125" customWidth="1"/>
    <col min="12286" max="12286" width="22" customWidth="1"/>
    <col min="12287" max="12287" width="9.85546875" customWidth="1"/>
    <col min="12290" max="12291" width="25.42578125" customWidth="1"/>
    <col min="12539" max="12539" width="24.140625" customWidth="1"/>
    <col min="12540" max="12540" width="34.85546875" customWidth="1"/>
    <col min="12541" max="12541" width="18.5703125" customWidth="1"/>
    <col min="12542" max="12542" width="22" customWidth="1"/>
    <col min="12543" max="12543" width="9.85546875" customWidth="1"/>
    <col min="12546" max="12547" width="25.42578125" customWidth="1"/>
    <col min="12795" max="12795" width="24.140625" customWidth="1"/>
    <col min="12796" max="12796" width="34.85546875" customWidth="1"/>
    <col min="12797" max="12797" width="18.5703125" customWidth="1"/>
    <col min="12798" max="12798" width="22" customWidth="1"/>
    <col min="12799" max="12799" width="9.85546875" customWidth="1"/>
    <col min="12802" max="12803" width="25.42578125" customWidth="1"/>
    <col min="13051" max="13051" width="24.140625" customWidth="1"/>
    <col min="13052" max="13052" width="34.85546875" customWidth="1"/>
    <col min="13053" max="13053" width="18.5703125" customWidth="1"/>
    <col min="13054" max="13054" width="22" customWidth="1"/>
    <col min="13055" max="13055" width="9.85546875" customWidth="1"/>
    <col min="13058" max="13059" width="25.42578125" customWidth="1"/>
    <col min="13307" max="13307" width="24.140625" customWidth="1"/>
    <col min="13308" max="13308" width="34.85546875" customWidth="1"/>
    <col min="13309" max="13309" width="18.5703125" customWidth="1"/>
    <col min="13310" max="13310" width="22" customWidth="1"/>
    <col min="13311" max="13311" width="9.85546875" customWidth="1"/>
    <col min="13314" max="13315" width="25.42578125" customWidth="1"/>
    <col min="13563" max="13563" width="24.140625" customWidth="1"/>
    <col min="13564" max="13564" width="34.85546875" customWidth="1"/>
    <col min="13565" max="13565" width="18.5703125" customWidth="1"/>
    <col min="13566" max="13566" width="22" customWidth="1"/>
    <col min="13567" max="13567" width="9.85546875" customWidth="1"/>
    <col min="13570" max="13571" width="25.42578125" customWidth="1"/>
    <col min="13819" max="13819" width="24.140625" customWidth="1"/>
    <col min="13820" max="13820" width="34.85546875" customWidth="1"/>
    <col min="13821" max="13821" width="18.5703125" customWidth="1"/>
    <col min="13822" max="13822" width="22" customWidth="1"/>
    <col min="13823" max="13823" width="9.85546875" customWidth="1"/>
    <col min="13826" max="13827" width="25.42578125" customWidth="1"/>
    <col min="14075" max="14075" width="24.140625" customWidth="1"/>
    <col min="14076" max="14076" width="34.85546875" customWidth="1"/>
    <col min="14077" max="14077" width="18.5703125" customWidth="1"/>
    <col min="14078" max="14078" width="22" customWidth="1"/>
    <col min="14079" max="14079" width="9.85546875" customWidth="1"/>
    <col min="14082" max="14083" width="25.42578125" customWidth="1"/>
    <col min="14331" max="14331" width="24.140625" customWidth="1"/>
    <col min="14332" max="14332" width="34.85546875" customWidth="1"/>
    <col min="14333" max="14333" width="18.5703125" customWidth="1"/>
    <col min="14334" max="14334" width="22" customWidth="1"/>
    <col min="14335" max="14335" width="9.85546875" customWidth="1"/>
    <col min="14338" max="14339" width="25.42578125" customWidth="1"/>
    <col min="14587" max="14587" width="24.140625" customWidth="1"/>
    <col min="14588" max="14588" width="34.85546875" customWidth="1"/>
    <col min="14589" max="14589" width="18.5703125" customWidth="1"/>
    <col min="14590" max="14590" width="22" customWidth="1"/>
    <col min="14591" max="14591" width="9.85546875" customWidth="1"/>
    <col min="14594" max="14595" width="25.42578125" customWidth="1"/>
    <col min="14843" max="14843" width="24.140625" customWidth="1"/>
    <col min="14844" max="14844" width="34.85546875" customWidth="1"/>
    <col min="14845" max="14845" width="18.5703125" customWidth="1"/>
    <col min="14846" max="14846" width="22" customWidth="1"/>
    <col min="14847" max="14847" width="9.85546875" customWidth="1"/>
    <col min="14850" max="14851" width="25.42578125" customWidth="1"/>
    <col min="15099" max="15099" width="24.140625" customWidth="1"/>
    <col min="15100" max="15100" width="34.85546875" customWidth="1"/>
    <col min="15101" max="15101" width="18.5703125" customWidth="1"/>
    <col min="15102" max="15102" width="22" customWidth="1"/>
    <col min="15103" max="15103" width="9.85546875" customWidth="1"/>
    <col min="15106" max="15107" width="25.42578125" customWidth="1"/>
    <col min="15355" max="15355" width="24.140625" customWidth="1"/>
    <col min="15356" max="15356" width="34.85546875" customWidth="1"/>
    <col min="15357" max="15357" width="18.5703125" customWidth="1"/>
    <col min="15358" max="15358" width="22" customWidth="1"/>
    <col min="15359" max="15359" width="9.85546875" customWidth="1"/>
    <col min="15362" max="15363" width="25.42578125" customWidth="1"/>
    <col min="15611" max="15611" width="24.140625" customWidth="1"/>
    <col min="15612" max="15612" width="34.85546875" customWidth="1"/>
    <col min="15613" max="15613" width="18.5703125" customWidth="1"/>
    <col min="15614" max="15614" width="22" customWidth="1"/>
    <col min="15615" max="15615" width="9.85546875" customWidth="1"/>
    <col min="15618" max="15619" width="25.42578125" customWidth="1"/>
    <col min="15867" max="15867" width="24.140625" customWidth="1"/>
    <col min="15868" max="15868" width="34.85546875" customWidth="1"/>
    <col min="15869" max="15869" width="18.5703125" customWidth="1"/>
    <col min="15870" max="15870" width="22" customWidth="1"/>
    <col min="15871" max="15871" width="9.85546875" customWidth="1"/>
    <col min="15874" max="15875" width="25.42578125" customWidth="1"/>
    <col min="16123" max="16123" width="24.140625" customWidth="1"/>
    <col min="16124" max="16124" width="34.85546875" customWidth="1"/>
    <col min="16125" max="16125" width="18.5703125" customWidth="1"/>
    <col min="16126" max="16126" width="22" customWidth="1"/>
    <col min="16127" max="16127" width="9.85546875" customWidth="1"/>
    <col min="16130" max="16131" width="25.42578125" customWidth="1"/>
  </cols>
  <sheetData>
    <row r="1" spans="2:7">
      <c r="C1" t="s">
        <v>2</v>
      </c>
      <c r="D1">
        <v>500</v>
      </c>
    </row>
    <row r="3" spans="2:7" ht="18.600000000000001">
      <c r="C3" s="125" t="s">
        <v>3</v>
      </c>
      <c r="D3" s="125"/>
      <c r="E3" s="125"/>
      <c r="F3" s="125"/>
      <c r="G3" s="53"/>
    </row>
    <row r="4" spans="2:7">
      <c r="C4" s="77" t="s">
        <v>4</v>
      </c>
      <c r="D4" s="77" t="s">
        <v>5</v>
      </c>
      <c r="E4" s="77" t="s">
        <v>6</v>
      </c>
      <c r="F4" s="77" t="s">
        <v>7</v>
      </c>
      <c r="G4" s="77" t="s">
        <v>8</v>
      </c>
    </row>
    <row r="5" spans="2:7">
      <c r="B5" s="76"/>
      <c r="C5" s="78" t="s">
        <v>9</v>
      </c>
      <c r="D5" s="80">
        <f>D1*0.5</f>
        <v>250</v>
      </c>
      <c r="E5" s="81">
        <f>D1*0.3</f>
        <v>150</v>
      </c>
      <c r="F5" s="81">
        <f>D1*0.2</f>
        <v>100</v>
      </c>
      <c r="G5" s="79">
        <f>SUM(D5:F5)</f>
        <v>500</v>
      </c>
    </row>
    <row r="7" spans="2:7">
      <c r="D7" t="s">
        <v>10</v>
      </c>
      <c r="E7" t="s">
        <v>11</v>
      </c>
      <c r="F7" t="s">
        <v>12</v>
      </c>
    </row>
    <row r="8" spans="2:7">
      <c r="C8" t="s">
        <v>13</v>
      </c>
      <c r="D8" t="s">
        <v>14</v>
      </c>
    </row>
    <row r="9" spans="2:7">
      <c r="D9" t="s">
        <v>15</v>
      </c>
    </row>
    <row r="10" spans="2:7">
      <c r="D10" t="s">
        <v>16</v>
      </c>
    </row>
    <row r="11" spans="2:7">
      <c r="D11" t="s">
        <v>17</v>
      </c>
    </row>
    <row r="12" spans="2:7">
      <c r="C12" t="s">
        <v>18</v>
      </c>
    </row>
    <row r="14" spans="2:7" ht="159.6">
      <c r="E14" s="111" t="s">
        <v>19</v>
      </c>
    </row>
    <row r="18" spans="3:5">
      <c r="C18" t="s">
        <v>20</v>
      </c>
    </row>
    <row r="19" spans="3:5">
      <c r="C19" t="s">
        <v>21</v>
      </c>
      <c r="D19" t="s">
        <v>22</v>
      </c>
    </row>
    <row r="20" spans="3:5">
      <c r="D20" t="s">
        <v>23</v>
      </c>
      <c r="E20" t="s">
        <v>24</v>
      </c>
    </row>
    <row r="21" spans="3:5">
      <c r="D21" t="s">
        <v>25</v>
      </c>
      <c r="E21" t="s">
        <v>26</v>
      </c>
    </row>
    <row r="23" spans="3:5">
      <c r="C23" t="s">
        <v>27</v>
      </c>
    </row>
    <row r="24" spans="3:5">
      <c r="C24" t="s">
        <v>28</v>
      </c>
      <c r="D24" t="s">
        <v>23</v>
      </c>
    </row>
  </sheetData>
  <mergeCells count="1">
    <mergeCell ref="C3:F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30"/>
  <sheetViews>
    <sheetView topLeftCell="A8" zoomScale="70" zoomScaleNormal="70" workbookViewId="0">
      <selection activeCell="G7" sqref="G7"/>
    </sheetView>
  </sheetViews>
  <sheetFormatPr defaultColWidth="8.85546875" defaultRowHeight="9.9499999999999993"/>
  <cols>
    <col min="1" max="1" width="9" style="1" customWidth="1"/>
    <col min="2" max="2" width="28.140625" style="93" bestFit="1" customWidth="1"/>
    <col min="3" max="3" width="34.85546875" style="90" bestFit="1" customWidth="1"/>
    <col min="4" max="4" width="13.28515625" style="103" customWidth="1"/>
    <col min="5" max="5" width="10.5703125" style="103" customWidth="1"/>
    <col min="6" max="7" width="10.5703125" style="1" customWidth="1"/>
    <col min="8" max="8" width="17" style="1" customWidth="1"/>
    <col min="9" max="245" width="8.85546875" style="1"/>
    <col min="246" max="246" width="19.140625" style="1" bestFit="1" customWidth="1"/>
    <col min="247" max="247" width="27.42578125" style="1" customWidth="1"/>
    <col min="248" max="248" width="26.140625" style="1" customWidth="1"/>
    <col min="249" max="249" width="21.140625" style="1" bestFit="1" customWidth="1"/>
    <col min="250" max="250" width="21.42578125" style="1" bestFit="1" customWidth="1"/>
    <col min="251" max="251" width="23.85546875" style="1" customWidth="1"/>
    <col min="252" max="252" width="13.85546875" style="1" bestFit="1" customWidth="1"/>
    <col min="253" max="253" width="18.42578125" style="1" bestFit="1" customWidth="1"/>
    <col min="254" max="254" width="19.42578125" style="1" bestFit="1" customWidth="1"/>
    <col min="255" max="501" width="8.85546875" style="1"/>
    <col min="502" max="502" width="19.140625" style="1" bestFit="1" customWidth="1"/>
    <col min="503" max="503" width="27.42578125" style="1" customWidth="1"/>
    <col min="504" max="504" width="26.140625" style="1" customWidth="1"/>
    <col min="505" max="505" width="21.140625" style="1" bestFit="1" customWidth="1"/>
    <col min="506" max="506" width="21.42578125" style="1" bestFit="1" customWidth="1"/>
    <col min="507" max="507" width="23.85546875" style="1" customWidth="1"/>
    <col min="508" max="508" width="13.85546875" style="1" bestFit="1" customWidth="1"/>
    <col min="509" max="509" width="18.42578125" style="1" bestFit="1" customWidth="1"/>
    <col min="510" max="510" width="19.42578125" style="1" bestFit="1" customWidth="1"/>
    <col min="511" max="757" width="8.85546875" style="1"/>
    <col min="758" max="758" width="19.140625" style="1" bestFit="1" customWidth="1"/>
    <col min="759" max="759" width="27.42578125" style="1" customWidth="1"/>
    <col min="760" max="760" width="26.140625" style="1" customWidth="1"/>
    <col min="761" max="761" width="21.140625" style="1" bestFit="1" customWidth="1"/>
    <col min="762" max="762" width="21.42578125" style="1" bestFit="1" customWidth="1"/>
    <col min="763" max="763" width="23.85546875" style="1" customWidth="1"/>
    <col min="764" max="764" width="13.85546875" style="1" bestFit="1" customWidth="1"/>
    <col min="765" max="765" width="18.42578125" style="1" bestFit="1" customWidth="1"/>
    <col min="766" max="766" width="19.42578125" style="1" bestFit="1" customWidth="1"/>
    <col min="767" max="1013" width="8.85546875" style="1"/>
    <col min="1014" max="1014" width="19.140625" style="1" bestFit="1" customWidth="1"/>
    <col min="1015" max="1015" width="27.42578125" style="1" customWidth="1"/>
    <col min="1016" max="1016" width="26.140625" style="1" customWidth="1"/>
    <col min="1017" max="1017" width="21.140625" style="1" bestFit="1" customWidth="1"/>
    <col min="1018" max="1018" width="21.42578125" style="1" bestFit="1" customWidth="1"/>
    <col min="1019" max="1019" width="23.85546875" style="1" customWidth="1"/>
    <col min="1020" max="1020" width="13.85546875" style="1" bestFit="1" customWidth="1"/>
    <col min="1021" max="1021" width="18.42578125" style="1" bestFit="1" customWidth="1"/>
    <col min="1022" max="1022" width="19.42578125" style="1" bestFit="1" customWidth="1"/>
    <col min="1023" max="1269" width="8.85546875" style="1"/>
    <col min="1270" max="1270" width="19.140625" style="1" bestFit="1" customWidth="1"/>
    <col min="1271" max="1271" width="27.42578125" style="1" customWidth="1"/>
    <col min="1272" max="1272" width="26.140625" style="1" customWidth="1"/>
    <col min="1273" max="1273" width="21.140625" style="1" bestFit="1" customWidth="1"/>
    <col min="1274" max="1274" width="21.42578125" style="1" bestFit="1" customWidth="1"/>
    <col min="1275" max="1275" width="23.85546875" style="1" customWidth="1"/>
    <col min="1276" max="1276" width="13.85546875" style="1" bestFit="1" customWidth="1"/>
    <col min="1277" max="1277" width="18.42578125" style="1" bestFit="1" customWidth="1"/>
    <col min="1278" max="1278" width="19.42578125" style="1" bestFit="1" customWidth="1"/>
    <col min="1279" max="1525" width="8.85546875" style="1"/>
    <col min="1526" max="1526" width="19.140625" style="1" bestFit="1" customWidth="1"/>
    <col min="1527" max="1527" width="27.42578125" style="1" customWidth="1"/>
    <col min="1528" max="1528" width="26.140625" style="1" customWidth="1"/>
    <col min="1529" max="1529" width="21.140625" style="1" bestFit="1" customWidth="1"/>
    <col min="1530" max="1530" width="21.42578125" style="1" bestFit="1" customWidth="1"/>
    <col min="1531" max="1531" width="23.85546875" style="1" customWidth="1"/>
    <col min="1532" max="1532" width="13.85546875" style="1" bestFit="1" customWidth="1"/>
    <col min="1533" max="1533" width="18.42578125" style="1" bestFit="1" customWidth="1"/>
    <col min="1534" max="1534" width="19.42578125" style="1" bestFit="1" customWidth="1"/>
    <col min="1535" max="1781" width="8.85546875" style="1"/>
    <col min="1782" max="1782" width="19.140625" style="1" bestFit="1" customWidth="1"/>
    <col min="1783" max="1783" width="27.42578125" style="1" customWidth="1"/>
    <col min="1784" max="1784" width="26.140625" style="1" customWidth="1"/>
    <col min="1785" max="1785" width="21.140625" style="1" bestFit="1" customWidth="1"/>
    <col min="1786" max="1786" width="21.42578125" style="1" bestFit="1" customWidth="1"/>
    <col min="1787" max="1787" width="23.85546875" style="1" customWidth="1"/>
    <col min="1788" max="1788" width="13.85546875" style="1" bestFit="1" customWidth="1"/>
    <col min="1789" max="1789" width="18.42578125" style="1" bestFit="1" customWidth="1"/>
    <col min="1790" max="1790" width="19.42578125" style="1" bestFit="1" customWidth="1"/>
    <col min="1791" max="2037" width="8.85546875" style="1"/>
    <col min="2038" max="2038" width="19.140625" style="1" bestFit="1" customWidth="1"/>
    <col min="2039" max="2039" width="27.42578125" style="1" customWidth="1"/>
    <col min="2040" max="2040" width="26.140625" style="1" customWidth="1"/>
    <col min="2041" max="2041" width="21.140625" style="1" bestFit="1" customWidth="1"/>
    <col min="2042" max="2042" width="21.42578125" style="1" bestFit="1" customWidth="1"/>
    <col min="2043" max="2043" width="23.85546875" style="1" customWidth="1"/>
    <col min="2044" max="2044" width="13.85546875" style="1" bestFit="1" customWidth="1"/>
    <col min="2045" max="2045" width="18.42578125" style="1" bestFit="1" customWidth="1"/>
    <col min="2046" max="2046" width="19.42578125" style="1" bestFit="1" customWidth="1"/>
    <col min="2047" max="2293" width="8.85546875" style="1"/>
    <col min="2294" max="2294" width="19.140625" style="1" bestFit="1" customWidth="1"/>
    <col min="2295" max="2295" width="27.42578125" style="1" customWidth="1"/>
    <col min="2296" max="2296" width="26.140625" style="1" customWidth="1"/>
    <col min="2297" max="2297" width="21.140625" style="1" bestFit="1" customWidth="1"/>
    <col min="2298" max="2298" width="21.42578125" style="1" bestFit="1" customWidth="1"/>
    <col min="2299" max="2299" width="23.85546875" style="1" customWidth="1"/>
    <col min="2300" max="2300" width="13.85546875" style="1" bestFit="1" customWidth="1"/>
    <col min="2301" max="2301" width="18.42578125" style="1" bestFit="1" customWidth="1"/>
    <col min="2302" max="2302" width="19.42578125" style="1" bestFit="1" customWidth="1"/>
    <col min="2303" max="2549" width="8.85546875" style="1"/>
    <col min="2550" max="2550" width="19.140625" style="1" bestFit="1" customWidth="1"/>
    <col min="2551" max="2551" width="27.42578125" style="1" customWidth="1"/>
    <col min="2552" max="2552" width="26.140625" style="1" customWidth="1"/>
    <col min="2553" max="2553" width="21.140625" style="1" bestFit="1" customWidth="1"/>
    <col min="2554" max="2554" width="21.42578125" style="1" bestFit="1" customWidth="1"/>
    <col min="2555" max="2555" width="23.85546875" style="1" customWidth="1"/>
    <col min="2556" max="2556" width="13.85546875" style="1" bestFit="1" customWidth="1"/>
    <col min="2557" max="2557" width="18.42578125" style="1" bestFit="1" customWidth="1"/>
    <col min="2558" max="2558" width="19.42578125" style="1" bestFit="1" customWidth="1"/>
    <col min="2559" max="2805" width="8.85546875" style="1"/>
    <col min="2806" max="2806" width="19.140625" style="1" bestFit="1" customWidth="1"/>
    <col min="2807" max="2807" width="27.42578125" style="1" customWidth="1"/>
    <col min="2808" max="2808" width="26.140625" style="1" customWidth="1"/>
    <col min="2809" max="2809" width="21.140625" style="1" bestFit="1" customWidth="1"/>
    <col min="2810" max="2810" width="21.42578125" style="1" bestFit="1" customWidth="1"/>
    <col min="2811" max="2811" width="23.85546875" style="1" customWidth="1"/>
    <col min="2812" max="2812" width="13.85546875" style="1" bestFit="1" customWidth="1"/>
    <col min="2813" max="2813" width="18.42578125" style="1" bestFit="1" customWidth="1"/>
    <col min="2814" max="2814" width="19.42578125" style="1" bestFit="1" customWidth="1"/>
    <col min="2815" max="3061" width="8.85546875" style="1"/>
    <col min="3062" max="3062" width="19.140625" style="1" bestFit="1" customWidth="1"/>
    <col min="3063" max="3063" width="27.42578125" style="1" customWidth="1"/>
    <col min="3064" max="3064" width="26.140625" style="1" customWidth="1"/>
    <col min="3065" max="3065" width="21.140625" style="1" bestFit="1" customWidth="1"/>
    <col min="3066" max="3066" width="21.42578125" style="1" bestFit="1" customWidth="1"/>
    <col min="3067" max="3067" width="23.85546875" style="1" customWidth="1"/>
    <col min="3068" max="3068" width="13.85546875" style="1" bestFit="1" customWidth="1"/>
    <col min="3069" max="3069" width="18.42578125" style="1" bestFit="1" customWidth="1"/>
    <col min="3070" max="3070" width="19.42578125" style="1" bestFit="1" customWidth="1"/>
    <col min="3071" max="3317" width="8.85546875" style="1"/>
    <col min="3318" max="3318" width="19.140625" style="1" bestFit="1" customWidth="1"/>
    <col min="3319" max="3319" width="27.42578125" style="1" customWidth="1"/>
    <col min="3320" max="3320" width="26.140625" style="1" customWidth="1"/>
    <col min="3321" max="3321" width="21.140625" style="1" bestFit="1" customWidth="1"/>
    <col min="3322" max="3322" width="21.42578125" style="1" bestFit="1" customWidth="1"/>
    <col min="3323" max="3323" width="23.85546875" style="1" customWidth="1"/>
    <col min="3324" max="3324" width="13.85546875" style="1" bestFit="1" customWidth="1"/>
    <col min="3325" max="3325" width="18.42578125" style="1" bestFit="1" customWidth="1"/>
    <col min="3326" max="3326" width="19.42578125" style="1" bestFit="1" customWidth="1"/>
    <col min="3327" max="3573" width="8.85546875" style="1"/>
    <col min="3574" max="3574" width="19.140625" style="1" bestFit="1" customWidth="1"/>
    <col min="3575" max="3575" width="27.42578125" style="1" customWidth="1"/>
    <col min="3576" max="3576" width="26.140625" style="1" customWidth="1"/>
    <col min="3577" max="3577" width="21.140625" style="1" bestFit="1" customWidth="1"/>
    <col min="3578" max="3578" width="21.42578125" style="1" bestFit="1" customWidth="1"/>
    <col min="3579" max="3579" width="23.85546875" style="1" customWidth="1"/>
    <col min="3580" max="3580" width="13.85546875" style="1" bestFit="1" customWidth="1"/>
    <col min="3581" max="3581" width="18.42578125" style="1" bestFit="1" customWidth="1"/>
    <col min="3582" max="3582" width="19.42578125" style="1" bestFit="1" customWidth="1"/>
    <col min="3583" max="3829" width="8.85546875" style="1"/>
    <col min="3830" max="3830" width="19.140625" style="1" bestFit="1" customWidth="1"/>
    <col min="3831" max="3831" width="27.42578125" style="1" customWidth="1"/>
    <col min="3832" max="3832" width="26.140625" style="1" customWidth="1"/>
    <col min="3833" max="3833" width="21.140625" style="1" bestFit="1" customWidth="1"/>
    <col min="3834" max="3834" width="21.42578125" style="1" bestFit="1" customWidth="1"/>
    <col min="3835" max="3835" width="23.85546875" style="1" customWidth="1"/>
    <col min="3836" max="3836" width="13.85546875" style="1" bestFit="1" customWidth="1"/>
    <col min="3837" max="3837" width="18.42578125" style="1" bestFit="1" customWidth="1"/>
    <col min="3838" max="3838" width="19.42578125" style="1" bestFit="1" customWidth="1"/>
    <col min="3839" max="4085" width="8.85546875" style="1"/>
    <col min="4086" max="4086" width="19.140625" style="1" bestFit="1" customWidth="1"/>
    <col min="4087" max="4087" width="27.42578125" style="1" customWidth="1"/>
    <col min="4088" max="4088" width="26.140625" style="1" customWidth="1"/>
    <col min="4089" max="4089" width="21.140625" style="1" bestFit="1" customWidth="1"/>
    <col min="4090" max="4090" width="21.42578125" style="1" bestFit="1" customWidth="1"/>
    <col min="4091" max="4091" width="23.85546875" style="1" customWidth="1"/>
    <col min="4092" max="4092" width="13.85546875" style="1" bestFit="1" customWidth="1"/>
    <col min="4093" max="4093" width="18.42578125" style="1" bestFit="1" customWidth="1"/>
    <col min="4094" max="4094" width="19.42578125" style="1" bestFit="1" customWidth="1"/>
    <col min="4095" max="4341" width="8.85546875" style="1"/>
    <col min="4342" max="4342" width="19.140625" style="1" bestFit="1" customWidth="1"/>
    <col min="4343" max="4343" width="27.42578125" style="1" customWidth="1"/>
    <col min="4344" max="4344" width="26.140625" style="1" customWidth="1"/>
    <col min="4345" max="4345" width="21.140625" style="1" bestFit="1" customWidth="1"/>
    <col min="4346" max="4346" width="21.42578125" style="1" bestFit="1" customWidth="1"/>
    <col min="4347" max="4347" width="23.85546875" style="1" customWidth="1"/>
    <col min="4348" max="4348" width="13.85546875" style="1" bestFit="1" customWidth="1"/>
    <col min="4349" max="4349" width="18.42578125" style="1" bestFit="1" customWidth="1"/>
    <col min="4350" max="4350" width="19.42578125" style="1" bestFit="1" customWidth="1"/>
    <col min="4351" max="4597" width="8.85546875" style="1"/>
    <col min="4598" max="4598" width="19.140625" style="1" bestFit="1" customWidth="1"/>
    <col min="4599" max="4599" width="27.42578125" style="1" customWidth="1"/>
    <col min="4600" max="4600" width="26.140625" style="1" customWidth="1"/>
    <col min="4601" max="4601" width="21.140625" style="1" bestFit="1" customWidth="1"/>
    <col min="4602" max="4602" width="21.42578125" style="1" bestFit="1" customWidth="1"/>
    <col min="4603" max="4603" width="23.85546875" style="1" customWidth="1"/>
    <col min="4604" max="4604" width="13.85546875" style="1" bestFit="1" customWidth="1"/>
    <col min="4605" max="4605" width="18.42578125" style="1" bestFit="1" customWidth="1"/>
    <col min="4606" max="4606" width="19.42578125" style="1" bestFit="1" customWidth="1"/>
    <col min="4607" max="4853" width="8.85546875" style="1"/>
    <col min="4854" max="4854" width="19.140625" style="1" bestFit="1" customWidth="1"/>
    <col min="4855" max="4855" width="27.42578125" style="1" customWidth="1"/>
    <col min="4856" max="4856" width="26.140625" style="1" customWidth="1"/>
    <col min="4857" max="4857" width="21.140625" style="1" bestFit="1" customWidth="1"/>
    <col min="4858" max="4858" width="21.42578125" style="1" bestFit="1" customWidth="1"/>
    <col min="4859" max="4859" width="23.85546875" style="1" customWidth="1"/>
    <col min="4860" max="4860" width="13.85546875" style="1" bestFit="1" customWidth="1"/>
    <col min="4861" max="4861" width="18.42578125" style="1" bestFit="1" customWidth="1"/>
    <col min="4862" max="4862" width="19.42578125" style="1" bestFit="1" customWidth="1"/>
    <col min="4863" max="5109" width="8.85546875" style="1"/>
    <col min="5110" max="5110" width="19.140625" style="1" bestFit="1" customWidth="1"/>
    <col min="5111" max="5111" width="27.42578125" style="1" customWidth="1"/>
    <col min="5112" max="5112" width="26.140625" style="1" customWidth="1"/>
    <col min="5113" max="5113" width="21.140625" style="1" bestFit="1" customWidth="1"/>
    <col min="5114" max="5114" width="21.42578125" style="1" bestFit="1" customWidth="1"/>
    <col min="5115" max="5115" width="23.85546875" style="1" customWidth="1"/>
    <col min="5116" max="5116" width="13.85546875" style="1" bestFit="1" customWidth="1"/>
    <col min="5117" max="5117" width="18.42578125" style="1" bestFit="1" customWidth="1"/>
    <col min="5118" max="5118" width="19.42578125" style="1" bestFit="1" customWidth="1"/>
    <col min="5119" max="5365" width="8.85546875" style="1"/>
    <col min="5366" max="5366" width="19.140625" style="1" bestFit="1" customWidth="1"/>
    <col min="5367" max="5367" width="27.42578125" style="1" customWidth="1"/>
    <col min="5368" max="5368" width="26.140625" style="1" customWidth="1"/>
    <col min="5369" max="5369" width="21.140625" style="1" bestFit="1" customWidth="1"/>
    <col min="5370" max="5370" width="21.42578125" style="1" bestFit="1" customWidth="1"/>
    <col min="5371" max="5371" width="23.85546875" style="1" customWidth="1"/>
    <col min="5372" max="5372" width="13.85546875" style="1" bestFit="1" customWidth="1"/>
    <col min="5373" max="5373" width="18.42578125" style="1" bestFit="1" customWidth="1"/>
    <col min="5374" max="5374" width="19.42578125" style="1" bestFit="1" customWidth="1"/>
    <col min="5375" max="5621" width="8.85546875" style="1"/>
    <col min="5622" max="5622" width="19.140625" style="1" bestFit="1" customWidth="1"/>
    <col min="5623" max="5623" width="27.42578125" style="1" customWidth="1"/>
    <col min="5624" max="5624" width="26.140625" style="1" customWidth="1"/>
    <col min="5625" max="5625" width="21.140625" style="1" bestFit="1" customWidth="1"/>
    <col min="5626" max="5626" width="21.42578125" style="1" bestFit="1" customWidth="1"/>
    <col min="5627" max="5627" width="23.85546875" style="1" customWidth="1"/>
    <col min="5628" max="5628" width="13.85546875" style="1" bestFit="1" customWidth="1"/>
    <col min="5629" max="5629" width="18.42578125" style="1" bestFit="1" customWidth="1"/>
    <col min="5630" max="5630" width="19.42578125" style="1" bestFit="1" customWidth="1"/>
    <col min="5631" max="5877" width="8.85546875" style="1"/>
    <col min="5878" max="5878" width="19.140625" style="1" bestFit="1" customWidth="1"/>
    <col min="5879" max="5879" width="27.42578125" style="1" customWidth="1"/>
    <col min="5880" max="5880" width="26.140625" style="1" customWidth="1"/>
    <col min="5881" max="5881" width="21.140625" style="1" bestFit="1" customWidth="1"/>
    <col min="5882" max="5882" width="21.42578125" style="1" bestFit="1" customWidth="1"/>
    <col min="5883" max="5883" width="23.85546875" style="1" customWidth="1"/>
    <col min="5884" max="5884" width="13.85546875" style="1" bestFit="1" customWidth="1"/>
    <col min="5885" max="5885" width="18.42578125" style="1" bestFit="1" customWidth="1"/>
    <col min="5886" max="5886" width="19.42578125" style="1" bestFit="1" customWidth="1"/>
    <col min="5887" max="6133" width="8.85546875" style="1"/>
    <col min="6134" max="6134" width="19.140625" style="1" bestFit="1" customWidth="1"/>
    <col min="6135" max="6135" width="27.42578125" style="1" customWidth="1"/>
    <col min="6136" max="6136" width="26.140625" style="1" customWidth="1"/>
    <col min="6137" max="6137" width="21.140625" style="1" bestFit="1" customWidth="1"/>
    <col min="6138" max="6138" width="21.42578125" style="1" bestFit="1" customWidth="1"/>
    <col min="6139" max="6139" width="23.85546875" style="1" customWidth="1"/>
    <col min="6140" max="6140" width="13.85546875" style="1" bestFit="1" customWidth="1"/>
    <col min="6141" max="6141" width="18.42578125" style="1" bestFit="1" customWidth="1"/>
    <col min="6142" max="6142" width="19.42578125" style="1" bestFit="1" customWidth="1"/>
    <col min="6143" max="6389" width="8.85546875" style="1"/>
    <col min="6390" max="6390" width="19.140625" style="1" bestFit="1" customWidth="1"/>
    <col min="6391" max="6391" width="27.42578125" style="1" customWidth="1"/>
    <col min="6392" max="6392" width="26.140625" style="1" customWidth="1"/>
    <col min="6393" max="6393" width="21.140625" style="1" bestFit="1" customWidth="1"/>
    <col min="6394" max="6394" width="21.42578125" style="1" bestFit="1" customWidth="1"/>
    <col min="6395" max="6395" width="23.85546875" style="1" customWidth="1"/>
    <col min="6396" max="6396" width="13.85546875" style="1" bestFit="1" customWidth="1"/>
    <col min="6397" max="6397" width="18.42578125" style="1" bestFit="1" customWidth="1"/>
    <col min="6398" max="6398" width="19.42578125" style="1" bestFit="1" customWidth="1"/>
    <col min="6399" max="6645" width="8.85546875" style="1"/>
    <col min="6646" max="6646" width="19.140625" style="1" bestFit="1" customWidth="1"/>
    <col min="6647" max="6647" width="27.42578125" style="1" customWidth="1"/>
    <col min="6648" max="6648" width="26.140625" style="1" customWidth="1"/>
    <col min="6649" max="6649" width="21.140625" style="1" bestFit="1" customWidth="1"/>
    <col min="6650" max="6650" width="21.42578125" style="1" bestFit="1" customWidth="1"/>
    <col min="6651" max="6651" width="23.85546875" style="1" customWidth="1"/>
    <col min="6652" max="6652" width="13.85546875" style="1" bestFit="1" customWidth="1"/>
    <col min="6653" max="6653" width="18.42578125" style="1" bestFit="1" customWidth="1"/>
    <col min="6654" max="6654" width="19.42578125" style="1" bestFit="1" customWidth="1"/>
    <col min="6655" max="6901" width="8.85546875" style="1"/>
    <col min="6902" max="6902" width="19.140625" style="1" bestFit="1" customWidth="1"/>
    <col min="6903" max="6903" width="27.42578125" style="1" customWidth="1"/>
    <col min="6904" max="6904" width="26.140625" style="1" customWidth="1"/>
    <col min="6905" max="6905" width="21.140625" style="1" bestFit="1" customWidth="1"/>
    <col min="6906" max="6906" width="21.42578125" style="1" bestFit="1" customWidth="1"/>
    <col min="6907" max="6907" width="23.85546875" style="1" customWidth="1"/>
    <col min="6908" max="6908" width="13.85546875" style="1" bestFit="1" customWidth="1"/>
    <col min="6909" max="6909" width="18.42578125" style="1" bestFit="1" customWidth="1"/>
    <col min="6910" max="6910" width="19.42578125" style="1" bestFit="1" customWidth="1"/>
    <col min="6911" max="7157" width="8.85546875" style="1"/>
    <col min="7158" max="7158" width="19.140625" style="1" bestFit="1" customWidth="1"/>
    <col min="7159" max="7159" width="27.42578125" style="1" customWidth="1"/>
    <col min="7160" max="7160" width="26.140625" style="1" customWidth="1"/>
    <col min="7161" max="7161" width="21.140625" style="1" bestFit="1" customWidth="1"/>
    <col min="7162" max="7162" width="21.42578125" style="1" bestFit="1" customWidth="1"/>
    <col min="7163" max="7163" width="23.85546875" style="1" customWidth="1"/>
    <col min="7164" max="7164" width="13.85546875" style="1" bestFit="1" customWidth="1"/>
    <col min="7165" max="7165" width="18.42578125" style="1" bestFit="1" customWidth="1"/>
    <col min="7166" max="7166" width="19.42578125" style="1" bestFit="1" customWidth="1"/>
    <col min="7167" max="7413" width="8.85546875" style="1"/>
    <col min="7414" max="7414" width="19.140625" style="1" bestFit="1" customWidth="1"/>
    <col min="7415" max="7415" width="27.42578125" style="1" customWidth="1"/>
    <col min="7416" max="7416" width="26.140625" style="1" customWidth="1"/>
    <col min="7417" max="7417" width="21.140625" style="1" bestFit="1" customWidth="1"/>
    <col min="7418" max="7418" width="21.42578125" style="1" bestFit="1" customWidth="1"/>
    <col min="7419" max="7419" width="23.85546875" style="1" customWidth="1"/>
    <col min="7420" max="7420" width="13.85546875" style="1" bestFit="1" customWidth="1"/>
    <col min="7421" max="7421" width="18.42578125" style="1" bestFit="1" customWidth="1"/>
    <col min="7422" max="7422" width="19.42578125" style="1" bestFit="1" customWidth="1"/>
    <col min="7423" max="7669" width="8.85546875" style="1"/>
    <col min="7670" max="7670" width="19.140625" style="1" bestFit="1" customWidth="1"/>
    <col min="7671" max="7671" width="27.42578125" style="1" customWidth="1"/>
    <col min="7672" max="7672" width="26.140625" style="1" customWidth="1"/>
    <col min="7673" max="7673" width="21.140625" style="1" bestFit="1" customWidth="1"/>
    <col min="7674" max="7674" width="21.42578125" style="1" bestFit="1" customWidth="1"/>
    <col min="7675" max="7675" width="23.85546875" style="1" customWidth="1"/>
    <col min="7676" max="7676" width="13.85546875" style="1" bestFit="1" customWidth="1"/>
    <col min="7677" max="7677" width="18.42578125" style="1" bestFit="1" customWidth="1"/>
    <col min="7678" max="7678" width="19.42578125" style="1" bestFit="1" customWidth="1"/>
    <col min="7679" max="7925" width="8.85546875" style="1"/>
    <col min="7926" max="7926" width="19.140625" style="1" bestFit="1" customWidth="1"/>
    <col min="7927" max="7927" width="27.42578125" style="1" customWidth="1"/>
    <col min="7928" max="7928" width="26.140625" style="1" customWidth="1"/>
    <col min="7929" max="7929" width="21.140625" style="1" bestFit="1" customWidth="1"/>
    <col min="7930" max="7930" width="21.42578125" style="1" bestFit="1" customWidth="1"/>
    <col min="7931" max="7931" width="23.85546875" style="1" customWidth="1"/>
    <col min="7932" max="7932" width="13.85546875" style="1" bestFit="1" customWidth="1"/>
    <col min="7933" max="7933" width="18.42578125" style="1" bestFit="1" customWidth="1"/>
    <col min="7934" max="7934" width="19.42578125" style="1" bestFit="1" customWidth="1"/>
    <col min="7935" max="8181" width="8.85546875" style="1"/>
    <col min="8182" max="8182" width="19.140625" style="1" bestFit="1" customWidth="1"/>
    <col min="8183" max="8183" width="27.42578125" style="1" customWidth="1"/>
    <col min="8184" max="8184" width="26.140625" style="1" customWidth="1"/>
    <col min="8185" max="8185" width="21.140625" style="1" bestFit="1" customWidth="1"/>
    <col min="8186" max="8186" width="21.42578125" style="1" bestFit="1" customWidth="1"/>
    <col min="8187" max="8187" width="23.85546875" style="1" customWidth="1"/>
    <col min="8188" max="8188" width="13.85546875" style="1" bestFit="1" customWidth="1"/>
    <col min="8189" max="8189" width="18.42578125" style="1" bestFit="1" customWidth="1"/>
    <col min="8190" max="8190" width="19.42578125" style="1" bestFit="1" customWidth="1"/>
    <col min="8191" max="8437" width="8.85546875" style="1"/>
    <col min="8438" max="8438" width="19.140625" style="1" bestFit="1" customWidth="1"/>
    <col min="8439" max="8439" width="27.42578125" style="1" customWidth="1"/>
    <col min="8440" max="8440" width="26.140625" style="1" customWidth="1"/>
    <col min="8441" max="8441" width="21.140625" style="1" bestFit="1" customWidth="1"/>
    <col min="8442" max="8442" width="21.42578125" style="1" bestFit="1" customWidth="1"/>
    <col min="8443" max="8443" width="23.85546875" style="1" customWidth="1"/>
    <col min="8444" max="8444" width="13.85546875" style="1" bestFit="1" customWidth="1"/>
    <col min="8445" max="8445" width="18.42578125" style="1" bestFit="1" customWidth="1"/>
    <col min="8446" max="8446" width="19.42578125" style="1" bestFit="1" customWidth="1"/>
    <col min="8447" max="8693" width="8.85546875" style="1"/>
    <col min="8694" max="8694" width="19.140625" style="1" bestFit="1" customWidth="1"/>
    <col min="8695" max="8695" width="27.42578125" style="1" customWidth="1"/>
    <col min="8696" max="8696" width="26.140625" style="1" customWidth="1"/>
    <col min="8697" max="8697" width="21.140625" style="1" bestFit="1" customWidth="1"/>
    <col min="8698" max="8698" width="21.42578125" style="1" bestFit="1" customWidth="1"/>
    <col min="8699" max="8699" width="23.85546875" style="1" customWidth="1"/>
    <col min="8700" max="8700" width="13.85546875" style="1" bestFit="1" customWidth="1"/>
    <col min="8701" max="8701" width="18.42578125" style="1" bestFit="1" customWidth="1"/>
    <col min="8702" max="8702" width="19.42578125" style="1" bestFit="1" customWidth="1"/>
    <col min="8703" max="8949" width="8.85546875" style="1"/>
    <col min="8950" max="8950" width="19.140625" style="1" bestFit="1" customWidth="1"/>
    <col min="8951" max="8951" width="27.42578125" style="1" customWidth="1"/>
    <col min="8952" max="8952" width="26.140625" style="1" customWidth="1"/>
    <col min="8953" max="8953" width="21.140625" style="1" bestFit="1" customWidth="1"/>
    <col min="8954" max="8954" width="21.42578125" style="1" bestFit="1" customWidth="1"/>
    <col min="8955" max="8955" width="23.85546875" style="1" customWidth="1"/>
    <col min="8956" max="8956" width="13.85546875" style="1" bestFit="1" customWidth="1"/>
    <col min="8957" max="8957" width="18.42578125" style="1" bestFit="1" customWidth="1"/>
    <col min="8958" max="8958" width="19.42578125" style="1" bestFit="1" customWidth="1"/>
    <col min="8959" max="9205" width="8.85546875" style="1"/>
    <col min="9206" max="9206" width="19.140625" style="1" bestFit="1" customWidth="1"/>
    <col min="9207" max="9207" width="27.42578125" style="1" customWidth="1"/>
    <col min="9208" max="9208" width="26.140625" style="1" customWidth="1"/>
    <col min="9209" max="9209" width="21.140625" style="1" bestFit="1" customWidth="1"/>
    <col min="9210" max="9210" width="21.42578125" style="1" bestFit="1" customWidth="1"/>
    <col min="9211" max="9211" width="23.85546875" style="1" customWidth="1"/>
    <col min="9212" max="9212" width="13.85546875" style="1" bestFit="1" customWidth="1"/>
    <col min="9213" max="9213" width="18.42578125" style="1" bestFit="1" customWidth="1"/>
    <col min="9214" max="9214" width="19.42578125" style="1" bestFit="1" customWidth="1"/>
    <col min="9215" max="9461" width="8.85546875" style="1"/>
    <col min="9462" max="9462" width="19.140625" style="1" bestFit="1" customWidth="1"/>
    <col min="9463" max="9463" width="27.42578125" style="1" customWidth="1"/>
    <col min="9464" max="9464" width="26.140625" style="1" customWidth="1"/>
    <col min="9465" max="9465" width="21.140625" style="1" bestFit="1" customWidth="1"/>
    <col min="9466" max="9466" width="21.42578125" style="1" bestFit="1" customWidth="1"/>
    <col min="9467" max="9467" width="23.85546875" style="1" customWidth="1"/>
    <col min="9468" max="9468" width="13.85546875" style="1" bestFit="1" customWidth="1"/>
    <col min="9469" max="9469" width="18.42578125" style="1" bestFit="1" customWidth="1"/>
    <col min="9470" max="9470" width="19.42578125" style="1" bestFit="1" customWidth="1"/>
    <col min="9471" max="9717" width="8.85546875" style="1"/>
    <col min="9718" max="9718" width="19.140625" style="1" bestFit="1" customWidth="1"/>
    <col min="9719" max="9719" width="27.42578125" style="1" customWidth="1"/>
    <col min="9720" max="9720" width="26.140625" style="1" customWidth="1"/>
    <col min="9721" max="9721" width="21.140625" style="1" bestFit="1" customWidth="1"/>
    <col min="9722" max="9722" width="21.42578125" style="1" bestFit="1" customWidth="1"/>
    <col min="9723" max="9723" width="23.85546875" style="1" customWidth="1"/>
    <col min="9724" max="9724" width="13.85546875" style="1" bestFit="1" customWidth="1"/>
    <col min="9725" max="9725" width="18.42578125" style="1" bestFit="1" customWidth="1"/>
    <col min="9726" max="9726" width="19.42578125" style="1" bestFit="1" customWidth="1"/>
    <col min="9727" max="9973" width="8.85546875" style="1"/>
    <col min="9974" max="9974" width="19.140625" style="1" bestFit="1" customWidth="1"/>
    <col min="9975" max="9975" width="27.42578125" style="1" customWidth="1"/>
    <col min="9976" max="9976" width="26.140625" style="1" customWidth="1"/>
    <col min="9977" max="9977" width="21.140625" style="1" bestFit="1" customWidth="1"/>
    <col min="9978" max="9978" width="21.42578125" style="1" bestFit="1" customWidth="1"/>
    <col min="9979" max="9979" width="23.85546875" style="1" customWidth="1"/>
    <col min="9980" max="9980" width="13.85546875" style="1" bestFit="1" customWidth="1"/>
    <col min="9981" max="9981" width="18.42578125" style="1" bestFit="1" customWidth="1"/>
    <col min="9982" max="9982" width="19.42578125" style="1" bestFit="1" customWidth="1"/>
    <col min="9983" max="10229" width="8.85546875" style="1"/>
    <col min="10230" max="10230" width="19.140625" style="1" bestFit="1" customWidth="1"/>
    <col min="10231" max="10231" width="27.42578125" style="1" customWidth="1"/>
    <col min="10232" max="10232" width="26.140625" style="1" customWidth="1"/>
    <col min="10233" max="10233" width="21.140625" style="1" bestFit="1" customWidth="1"/>
    <col min="10234" max="10234" width="21.42578125" style="1" bestFit="1" customWidth="1"/>
    <col min="10235" max="10235" width="23.85546875" style="1" customWidth="1"/>
    <col min="10236" max="10236" width="13.85546875" style="1" bestFit="1" customWidth="1"/>
    <col min="10237" max="10237" width="18.42578125" style="1" bestFit="1" customWidth="1"/>
    <col min="10238" max="10238" width="19.42578125" style="1" bestFit="1" customWidth="1"/>
    <col min="10239" max="10485" width="8.85546875" style="1"/>
    <col min="10486" max="10486" width="19.140625" style="1" bestFit="1" customWidth="1"/>
    <col min="10487" max="10487" width="27.42578125" style="1" customWidth="1"/>
    <col min="10488" max="10488" width="26.140625" style="1" customWidth="1"/>
    <col min="10489" max="10489" width="21.140625" style="1" bestFit="1" customWidth="1"/>
    <col min="10490" max="10490" width="21.42578125" style="1" bestFit="1" customWidth="1"/>
    <col min="10491" max="10491" width="23.85546875" style="1" customWidth="1"/>
    <col min="10492" max="10492" width="13.85546875" style="1" bestFit="1" customWidth="1"/>
    <col min="10493" max="10493" width="18.42578125" style="1" bestFit="1" customWidth="1"/>
    <col min="10494" max="10494" width="19.42578125" style="1" bestFit="1" customWidth="1"/>
    <col min="10495" max="10741" width="8.85546875" style="1"/>
    <col min="10742" max="10742" width="19.140625" style="1" bestFit="1" customWidth="1"/>
    <col min="10743" max="10743" width="27.42578125" style="1" customWidth="1"/>
    <col min="10744" max="10744" width="26.140625" style="1" customWidth="1"/>
    <col min="10745" max="10745" width="21.140625" style="1" bestFit="1" customWidth="1"/>
    <col min="10746" max="10746" width="21.42578125" style="1" bestFit="1" customWidth="1"/>
    <col min="10747" max="10747" width="23.85546875" style="1" customWidth="1"/>
    <col min="10748" max="10748" width="13.85546875" style="1" bestFit="1" customWidth="1"/>
    <col min="10749" max="10749" width="18.42578125" style="1" bestFit="1" customWidth="1"/>
    <col min="10750" max="10750" width="19.42578125" style="1" bestFit="1" customWidth="1"/>
    <col min="10751" max="10997" width="8.85546875" style="1"/>
    <col min="10998" max="10998" width="19.140625" style="1" bestFit="1" customWidth="1"/>
    <col min="10999" max="10999" width="27.42578125" style="1" customWidth="1"/>
    <col min="11000" max="11000" width="26.140625" style="1" customWidth="1"/>
    <col min="11001" max="11001" width="21.140625" style="1" bestFit="1" customWidth="1"/>
    <col min="11002" max="11002" width="21.42578125" style="1" bestFit="1" customWidth="1"/>
    <col min="11003" max="11003" width="23.85546875" style="1" customWidth="1"/>
    <col min="11004" max="11004" width="13.85546875" style="1" bestFit="1" customWidth="1"/>
    <col min="11005" max="11005" width="18.42578125" style="1" bestFit="1" customWidth="1"/>
    <col min="11006" max="11006" width="19.42578125" style="1" bestFit="1" customWidth="1"/>
    <col min="11007" max="11253" width="8.85546875" style="1"/>
    <col min="11254" max="11254" width="19.140625" style="1" bestFit="1" customWidth="1"/>
    <col min="11255" max="11255" width="27.42578125" style="1" customWidth="1"/>
    <col min="11256" max="11256" width="26.140625" style="1" customWidth="1"/>
    <col min="11257" max="11257" width="21.140625" style="1" bestFit="1" customWidth="1"/>
    <col min="11258" max="11258" width="21.42578125" style="1" bestFit="1" customWidth="1"/>
    <col min="11259" max="11259" width="23.85546875" style="1" customWidth="1"/>
    <col min="11260" max="11260" width="13.85546875" style="1" bestFit="1" customWidth="1"/>
    <col min="11261" max="11261" width="18.42578125" style="1" bestFit="1" customWidth="1"/>
    <col min="11262" max="11262" width="19.42578125" style="1" bestFit="1" customWidth="1"/>
    <col min="11263" max="11509" width="8.85546875" style="1"/>
    <col min="11510" max="11510" width="19.140625" style="1" bestFit="1" customWidth="1"/>
    <col min="11511" max="11511" width="27.42578125" style="1" customWidth="1"/>
    <col min="11512" max="11512" width="26.140625" style="1" customWidth="1"/>
    <col min="11513" max="11513" width="21.140625" style="1" bestFit="1" customWidth="1"/>
    <col min="11514" max="11514" width="21.42578125" style="1" bestFit="1" customWidth="1"/>
    <col min="11515" max="11515" width="23.85546875" style="1" customWidth="1"/>
    <col min="11516" max="11516" width="13.85546875" style="1" bestFit="1" customWidth="1"/>
    <col min="11517" max="11517" width="18.42578125" style="1" bestFit="1" customWidth="1"/>
    <col min="11518" max="11518" width="19.42578125" style="1" bestFit="1" customWidth="1"/>
    <col min="11519" max="11765" width="8.85546875" style="1"/>
    <col min="11766" max="11766" width="19.140625" style="1" bestFit="1" customWidth="1"/>
    <col min="11767" max="11767" width="27.42578125" style="1" customWidth="1"/>
    <col min="11768" max="11768" width="26.140625" style="1" customWidth="1"/>
    <col min="11769" max="11769" width="21.140625" style="1" bestFit="1" customWidth="1"/>
    <col min="11770" max="11770" width="21.42578125" style="1" bestFit="1" customWidth="1"/>
    <col min="11771" max="11771" width="23.85546875" style="1" customWidth="1"/>
    <col min="11772" max="11772" width="13.85546875" style="1" bestFit="1" customWidth="1"/>
    <col min="11773" max="11773" width="18.42578125" style="1" bestFit="1" customWidth="1"/>
    <col min="11774" max="11774" width="19.42578125" style="1" bestFit="1" customWidth="1"/>
    <col min="11775" max="12021" width="8.85546875" style="1"/>
    <col min="12022" max="12022" width="19.140625" style="1" bestFit="1" customWidth="1"/>
    <col min="12023" max="12023" width="27.42578125" style="1" customWidth="1"/>
    <col min="12024" max="12024" width="26.140625" style="1" customWidth="1"/>
    <col min="12025" max="12025" width="21.140625" style="1" bestFit="1" customWidth="1"/>
    <col min="12026" max="12026" width="21.42578125" style="1" bestFit="1" customWidth="1"/>
    <col min="12027" max="12027" width="23.85546875" style="1" customWidth="1"/>
    <col min="12028" max="12028" width="13.85546875" style="1" bestFit="1" customWidth="1"/>
    <col min="12029" max="12029" width="18.42578125" style="1" bestFit="1" customWidth="1"/>
    <col min="12030" max="12030" width="19.42578125" style="1" bestFit="1" customWidth="1"/>
    <col min="12031" max="12277" width="8.85546875" style="1"/>
    <col min="12278" max="12278" width="19.140625" style="1" bestFit="1" customWidth="1"/>
    <col min="12279" max="12279" width="27.42578125" style="1" customWidth="1"/>
    <col min="12280" max="12280" width="26.140625" style="1" customWidth="1"/>
    <col min="12281" max="12281" width="21.140625" style="1" bestFit="1" customWidth="1"/>
    <col min="12282" max="12282" width="21.42578125" style="1" bestFit="1" customWidth="1"/>
    <col min="12283" max="12283" width="23.85546875" style="1" customWidth="1"/>
    <col min="12284" max="12284" width="13.85546875" style="1" bestFit="1" customWidth="1"/>
    <col min="12285" max="12285" width="18.42578125" style="1" bestFit="1" customWidth="1"/>
    <col min="12286" max="12286" width="19.42578125" style="1" bestFit="1" customWidth="1"/>
    <col min="12287" max="12533" width="8.85546875" style="1"/>
    <col min="12534" max="12534" width="19.140625" style="1" bestFit="1" customWidth="1"/>
    <col min="12535" max="12535" width="27.42578125" style="1" customWidth="1"/>
    <col min="12536" max="12536" width="26.140625" style="1" customWidth="1"/>
    <col min="12537" max="12537" width="21.140625" style="1" bestFit="1" customWidth="1"/>
    <col min="12538" max="12538" width="21.42578125" style="1" bestFit="1" customWidth="1"/>
    <col min="12539" max="12539" width="23.85546875" style="1" customWidth="1"/>
    <col min="12540" max="12540" width="13.85546875" style="1" bestFit="1" customWidth="1"/>
    <col min="12541" max="12541" width="18.42578125" style="1" bestFit="1" customWidth="1"/>
    <col min="12542" max="12542" width="19.42578125" style="1" bestFit="1" customWidth="1"/>
    <col min="12543" max="12789" width="8.85546875" style="1"/>
    <col min="12790" max="12790" width="19.140625" style="1" bestFit="1" customWidth="1"/>
    <col min="12791" max="12791" width="27.42578125" style="1" customWidth="1"/>
    <col min="12792" max="12792" width="26.140625" style="1" customWidth="1"/>
    <col min="12793" max="12793" width="21.140625" style="1" bestFit="1" customWidth="1"/>
    <col min="12794" max="12794" width="21.42578125" style="1" bestFit="1" customWidth="1"/>
    <col min="12795" max="12795" width="23.85546875" style="1" customWidth="1"/>
    <col min="12796" max="12796" width="13.85546875" style="1" bestFit="1" customWidth="1"/>
    <col min="12797" max="12797" width="18.42578125" style="1" bestFit="1" customWidth="1"/>
    <col min="12798" max="12798" width="19.42578125" style="1" bestFit="1" customWidth="1"/>
    <col min="12799" max="13045" width="8.85546875" style="1"/>
    <col min="13046" max="13046" width="19.140625" style="1" bestFit="1" customWidth="1"/>
    <col min="13047" max="13047" width="27.42578125" style="1" customWidth="1"/>
    <col min="13048" max="13048" width="26.140625" style="1" customWidth="1"/>
    <col min="13049" max="13049" width="21.140625" style="1" bestFit="1" customWidth="1"/>
    <col min="13050" max="13050" width="21.42578125" style="1" bestFit="1" customWidth="1"/>
    <col min="13051" max="13051" width="23.85546875" style="1" customWidth="1"/>
    <col min="13052" max="13052" width="13.85546875" style="1" bestFit="1" customWidth="1"/>
    <col min="13053" max="13053" width="18.42578125" style="1" bestFit="1" customWidth="1"/>
    <col min="13054" max="13054" width="19.42578125" style="1" bestFit="1" customWidth="1"/>
    <col min="13055" max="13301" width="8.85546875" style="1"/>
    <col min="13302" max="13302" width="19.140625" style="1" bestFit="1" customWidth="1"/>
    <col min="13303" max="13303" width="27.42578125" style="1" customWidth="1"/>
    <col min="13304" max="13304" width="26.140625" style="1" customWidth="1"/>
    <col min="13305" max="13305" width="21.140625" style="1" bestFit="1" customWidth="1"/>
    <col min="13306" max="13306" width="21.42578125" style="1" bestFit="1" customWidth="1"/>
    <col min="13307" max="13307" width="23.85546875" style="1" customWidth="1"/>
    <col min="13308" max="13308" width="13.85546875" style="1" bestFit="1" customWidth="1"/>
    <col min="13309" max="13309" width="18.42578125" style="1" bestFit="1" customWidth="1"/>
    <col min="13310" max="13310" width="19.42578125" style="1" bestFit="1" customWidth="1"/>
    <col min="13311" max="13557" width="8.85546875" style="1"/>
    <col min="13558" max="13558" width="19.140625" style="1" bestFit="1" customWidth="1"/>
    <col min="13559" max="13559" width="27.42578125" style="1" customWidth="1"/>
    <col min="13560" max="13560" width="26.140625" style="1" customWidth="1"/>
    <col min="13561" max="13561" width="21.140625" style="1" bestFit="1" customWidth="1"/>
    <col min="13562" max="13562" width="21.42578125" style="1" bestFit="1" customWidth="1"/>
    <col min="13563" max="13563" width="23.85546875" style="1" customWidth="1"/>
    <col min="13564" max="13564" width="13.85546875" style="1" bestFit="1" customWidth="1"/>
    <col min="13565" max="13565" width="18.42578125" style="1" bestFit="1" customWidth="1"/>
    <col min="13566" max="13566" width="19.42578125" style="1" bestFit="1" customWidth="1"/>
    <col min="13567" max="13813" width="8.85546875" style="1"/>
    <col min="13814" max="13814" width="19.140625" style="1" bestFit="1" customWidth="1"/>
    <col min="13815" max="13815" width="27.42578125" style="1" customWidth="1"/>
    <col min="13816" max="13816" width="26.140625" style="1" customWidth="1"/>
    <col min="13817" max="13817" width="21.140625" style="1" bestFit="1" customWidth="1"/>
    <col min="13818" max="13818" width="21.42578125" style="1" bestFit="1" customWidth="1"/>
    <col min="13819" max="13819" width="23.85546875" style="1" customWidth="1"/>
    <col min="13820" max="13820" width="13.85546875" style="1" bestFit="1" customWidth="1"/>
    <col min="13821" max="13821" width="18.42578125" style="1" bestFit="1" customWidth="1"/>
    <col min="13822" max="13822" width="19.42578125" style="1" bestFit="1" customWidth="1"/>
    <col min="13823" max="14069" width="8.85546875" style="1"/>
    <col min="14070" max="14070" width="19.140625" style="1" bestFit="1" customWidth="1"/>
    <col min="14071" max="14071" width="27.42578125" style="1" customWidth="1"/>
    <col min="14072" max="14072" width="26.140625" style="1" customWidth="1"/>
    <col min="14073" max="14073" width="21.140625" style="1" bestFit="1" customWidth="1"/>
    <col min="14074" max="14074" width="21.42578125" style="1" bestFit="1" customWidth="1"/>
    <col min="14075" max="14075" width="23.85546875" style="1" customWidth="1"/>
    <col min="14076" max="14076" width="13.85546875" style="1" bestFit="1" customWidth="1"/>
    <col min="14077" max="14077" width="18.42578125" style="1" bestFit="1" customWidth="1"/>
    <col min="14078" max="14078" width="19.42578125" style="1" bestFit="1" customWidth="1"/>
    <col min="14079" max="14325" width="8.85546875" style="1"/>
    <col min="14326" max="14326" width="19.140625" style="1" bestFit="1" customWidth="1"/>
    <col min="14327" max="14327" width="27.42578125" style="1" customWidth="1"/>
    <col min="14328" max="14328" width="26.140625" style="1" customWidth="1"/>
    <col min="14329" max="14329" width="21.140625" style="1" bestFit="1" customWidth="1"/>
    <col min="14330" max="14330" width="21.42578125" style="1" bestFit="1" customWidth="1"/>
    <col min="14331" max="14331" width="23.85546875" style="1" customWidth="1"/>
    <col min="14332" max="14332" width="13.85546875" style="1" bestFit="1" customWidth="1"/>
    <col min="14333" max="14333" width="18.42578125" style="1" bestFit="1" customWidth="1"/>
    <col min="14334" max="14334" width="19.42578125" style="1" bestFit="1" customWidth="1"/>
    <col min="14335" max="14581" width="8.85546875" style="1"/>
    <col min="14582" max="14582" width="19.140625" style="1" bestFit="1" customWidth="1"/>
    <col min="14583" max="14583" width="27.42578125" style="1" customWidth="1"/>
    <col min="14584" max="14584" width="26.140625" style="1" customWidth="1"/>
    <col min="14585" max="14585" width="21.140625" style="1" bestFit="1" customWidth="1"/>
    <col min="14586" max="14586" width="21.42578125" style="1" bestFit="1" customWidth="1"/>
    <col min="14587" max="14587" width="23.85546875" style="1" customWidth="1"/>
    <col min="14588" max="14588" width="13.85546875" style="1" bestFit="1" customWidth="1"/>
    <col min="14589" max="14589" width="18.42578125" style="1" bestFit="1" customWidth="1"/>
    <col min="14590" max="14590" width="19.42578125" style="1" bestFit="1" customWidth="1"/>
    <col min="14591" max="14837" width="8.85546875" style="1"/>
    <col min="14838" max="14838" width="19.140625" style="1" bestFit="1" customWidth="1"/>
    <col min="14839" max="14839" width="27.42578125" style="1" customWidth="1"/>
    <col min="14840" max="14840" width="26.140625" style="1" customWidth="1"/>
    <col min="14841" max="14841" width="21.140625" style="1" bestFit="1" customWidth="1"/>
    <col min="14842" max="14842" width="21.42578125" style="1" bestFit="1" customWidth="1"/>
    <col min="14843" max="14843" width="23.85546875" style="1" customWidth="1"/>
    <col min="14844" max="14844" width="13.85546875" style="1" bestFit="1" customWidth="1"/>
    <col min="14845" max="14845" width="18.42578125" style="1" bestFit="1" customWidth="1"/>
    <col min="14846" max="14846" width="19.42578125" style="1" bestFit="1" customWidth="1"/>
    <col min="14847" max="15093" width="8.85546875" style="1"/>
    <col min="15094" max="15094" width="19.140625" style="1" bestFit="1" customWidth="1"/>
    <col min="15095" max="15095" width="27.42578125" style="1" customWidth="1"/>
    <col min="15096" max="15096" width="26.140625" style="1" customWidth="1"/>
    <col min="15097" max="15097" width="21.140625" style="1" bestFit="1" customWidth="1"/>
    <col min="15098" max="15098" width="21.42578125" style="1" bestFit="1" customWidth="1"/>
    <col min="15099" max="15099" width="23.85546875" style="1" customWidth="1"/>
    <col min="15100" max="15100" width="13.85546875" style="1" bestFit="1" customWidth="1"/>
    <col min="15101" max="15101" width="18.42578125" style="1" bestFit="1" customWidth="1"/>
    <col min="15102" max="15102" width="19.42578125" style="1" bestFit="1" customWidth="1"/>
    <col min="15103" max="15349" width="8.85546875" style="1"/>
    <col min="15350" max="15350" width="19.140625" style="1" bestFit="1" customWidth="1"/>
    <col min="15351" max="15351" width="27.42578125" style="1" customWidth="1"/>
    <col min="15352" max="15352" width="26.140625" style="1" customWidth="1"/>
    <col min="15353" max="15353" width="21.140625" style="1" bestFit="1" customWidth="1"/>
    <col min="15354" max="15354" width="21.42578125" style="1" bestFit="1" customWidth="1"/>
    <col min="15355" max="15355" width="23.85546875" style="1" customWidth="1"/>
    <col min="15356" max="15356" width="13.85546875" style="1" bestFit="1" customWidth="1"/>
    <col min="15357" max="15357" width="18.42578125" style="1" bestFit="1" customWidth="1"/>
    <col min="15358" max="15358" width="19.42578125" style="1" bestFit="1" customWidth="1"/>
    <col min="15359" max="15605" width="8.85546875" style="1"/>
    <col min="15606" max="15606" width="19.140625" style="1" bestFit="1" customWidth="1"/>
    <col min="15607" max="15607" width="27.42578125" style="1" customWidth="1"/>
    <col min="15608" max="15608" width="26.140625" style="1" customWidth="1"/>
    <col min="15609" max="15609" width="21.140625" style="1" bestFit="1" customWidth="1"/>
    <col min="15610" max="15610" width="21.42578125" style="1" bestFit="1" customWidth="1"/>
    <col min="15611" max="15611" width="23.85546875" style="1" customWidth="1"/>
    <col min="15612" max="15612" width="13.85546875" style="1" bestFit="1" customWidth="1"/>
    <col min="15613" max="15613" width="18.42578125" style="1" bestFit="1" customWidth="1"/>
    <col min="15614" max="15614" width="19.42578125" style="1" bestFit="1" customWidth="1"/>
    <col min="15615" max="15861" width="8.85546875" style="1"/>
    <col min="15862" max="15862" width="19.140625" style="1" bestFit="1" customWidth="1"/>
    <col min="15863" max="15863" width="27.42578125" style="1" customWidth="1"/>
    <col min="15864" max="15864" width="26.140625" style="1" customWidth="1"/>
    <col min="15865" max="15865" width="21.140625" style="1" bestFit="1" customWidth="1"/>
    <col min="15866" max="15866" width="21.42578125" style="1" bestFit="1" customWidth="1"/>
    <col min="15867" max="15867" width="23.85546875" style="1" customWidth="1"/>
    <col min="15868" max="15868" width="13.85546875" style="1" bestFit="1" customWidth="1"/>
    <col min="15869" max="15869" width="18.42578125" style="1" bestFit="1" customWidth="1"/>
    <col min="15870" max="15870" width="19.42578125" style="1" bestFit="1" customWidth="1"/>
    <col min="15871" max="16117" width="8.85546875" style="1"/>
    <col min="16118" max="16118" width="19.140625" style="1" bestFit="1" customWidth="1"/>
    <col min="16119" max="16119" width="27.42578125" style="1" customWidth="1"/>
    <col min="16120" max="16120" width="26.140625" style="1" customWidth="1"/>
    <col min="16121" max="16121" width="21.140625" style="1" bestFit="1" customWidth="1"/>
    <col min="16122" max="16122" width="21.42578125" style="1" bestFit="1" customWidth="1"/>
    <col min="16123" max="16123" width="23.85546875" style="1" customWidth="1"/>
    <col min="16124" max="16124" width="13.85546875" style="1" bestFit="1" customWidth="1"/>
    <col min="16125" max="16125" width="18.42578125" style="1" bestFit="1" customWidth="1"/>
    <col min="16126" max="16126" width="19.42578125" style="1" bestFit="1" customWidth="1"/>
    <col min="16127" max="16384" width="8.85546875" style="1"/>
  </cols>
  <sheetData>
    <row r="2" spans="1:11" ht="18.600000000000001" customHeight="1">
      <c r="A2" s="126" t="s">
        <v>29</v>
      </c>
      <c r="B2" s="127"/>
      <c r="C2" s="127"/>
      <c r="D2" s="127"/>
    </row>
    <row r="4" spans="1:11" ht="15" customHeight="1">
      <c r="A4" s="128" t="s">
        <v>30</v>
      </c>
      <c r="B4" s="129"/>
      <c r="C4" s="129"/>
      <c r="D4" s="129"/>
    </row>
    <row r="5" spans="1:11" ht="15.6">
      <c r="A5" s="2"/>
      <c r="B5" s="91"/>
      <c r="C5" s="88"/>
      <c r="D5" s="98"/>
    </row>
    <row r="6" spans="1:11" s="90" customFormat="1" ht="29.1" customHeight="1">
      <c r="A6" s="108"/>
      <c r="B6" s="89" t="s">
        <v>31</v>
      </c>
      <c r="C6" s="89" t="s">
        <v>32</v>
      </c>
      <c r="D6" s="109" t="s">
        <v>33</v>
      </c>
      <c r="G6" s="90" t="s">
        <v>34</v>
      </c>
      <c r="H6" s="110" t="s">
        <v>35</v>
      </c>
    </row>
    <row r="7" spans="1:11" ht="15" customHeight="1">
      <c r="A7" s="130"/>
      <c r="B7" s="131" t="s">
        <v>36</v>
      </c>
      <c r="C7" s="134" t="s">
        <v>37</v>
      </c>
      <c r="D7" s="137">
        <f>H10</f>
        <v>70.833333333333329</v>
      </c>
      <c r="E7" s="103" t="s">
        <v>5</v>
      </c>
      <c r="F7" s="36">
        <f>Scope!D5</f>
        <v>250</v>
      </c>
      <c r="G7" s="1">
        <v>5</v>
      </c>
      <c r="H7" s="1">
        <f>F7*G7/60</f>
        <v>20.833333333333332</v>
      </c>
      <c r="J7" s="3"/>
    </row>
    <row r="8" spans="1:11">
      <c r="A8" s="130"/>
      <c r="B8" s="132"/>
      <c r="C8" s="135"/>
      <c r="D8" s="138"/>
      <c r="E8" s="103" t="s">
        <v>6</v>
      </c>
      <c r="F8" s="36">
        <f>Scope!E5</f>
        <v>150</v>
      </c>
      <c r="G8" s="1">
        <v>10</v>
      </c>
      <c r="H8" s="1">
        <f>F8*G8/60</f>
        <v>25</v>
      </c>
    </row>
    <row r="9" spans="1:11">
      <c r="A9" s="130"/>
      <c r="B9" s="132"/>
      <c r="C9" s="135"/>
      <c r="D9" s="138"/>
      <c r="E9" s="103" t="s">
        <v>7</v>
      </c>
      <c r="F9" s="36">
        <f>Scope!F5</f>
        <v>100</v>
      </c>
      <c r="G9" s="1">
        <v>15</v>
      </c>
      <c r="H9" s="1">
        <f>F9*G9/60</f>
        <v>25</v>
      </c>
    </row>
    <row r="10" spans="1:11">
      <c r="A10" s="130"/>
      <c r="B10" s="133"/>
      <c r="C10" s="136"/>
      <c r="D10" s="139"/>
      <c r="F10" s="36">
        <f>SUM(F7:F9)</f>
        <v>500</v>
      </c>
      <c r="G10" s="38" t="s">
        <v>38</v>
      </c>
      <c r="H10" s="38">
        <f>SUM(H7:H9)</f>
        <v>70.833333333333329</v>
      </c>
    </row>
    <row r="11" spans="1:11" ht="60">
      <c r="A11" s="3"/>
      <c r="B11" s="86" t="s">
        <v>39</v>
      </c>
      <c r="C11" s="94" t="s">
        <v>40</v>
      </c>
      <c r="D11" s="99">
        <f>56</f>
        <v>56</v>
      </c>
      <c r="E11" s="104" t="str">
        <f>CONCATENATE(D11/8," Days")</f>
        <v>7 Days</v>
      </c>
    </row>
    <row r="12" spans="1:11" ht="15" customHeight="1">
      <c r="A12" s="140"/>
      <c r="B12" s="131" t="s">
        <v>41</v>
      </c>
      <c r="C12" s="134" t="s">
        <v>42</v>
      </c>
      <c r="D12" s="141">
        <f>G16+16</f>
        <v>3616</v>
      </c>
      <c r="E12" s="103" t="s">
        <v>5</v>
      </c>
      <c r="F12" s="1" t="s">
        <v>6</v>
      </c>
      <c r="G12" s="1" t="s">
        <v>7</v>
      </c>
      <c r="H12" s="40" t="s">
        <v>43</v>
      </c>
    </row>
    <row r="13" spans="1:11" ht="15" customHeight="1">
      <c r="A13" s="140"/>
      <c r="B13" s="132"/>
      <c r="C13" s="135"/>
      <c r="D13" s="142"/>
      <c r="E13" s="103" t="s">
        <v>44</v>
      </c>
      <c r="F13" s="1" t="s">
        <v>45</v>
      </c>
      <c r="G13" s="1" t="s">
        <v>46</v>
      </c>
      <c r="H13" s="35"/>
    </row>
    <row r="14" spans="1:11" ht="20.100000000000001">
      <c r="A14" s="140"/>
      <c r="B14" s="132"/>
      <c r="C14" s="135"/>
      <c r="D14" s="142"/>
      <c r="E14" s="105">
        <v>1.5</v>
      </c>
      <c r="F14" s="1">
        <v>1</v>
      </c>
      <c r="G14" s="1">
        <v>0.75</v>
      </c>
      <c r="H14" s="35" t="s">
        <v>47</v>
      </c>
      <c r="K14" s="37"/>
    </row>
    <row r="15" spans="1:11" ht="15" customHeight="1">
      <c r="A15" s="140"/>
      <c r="B15" s="132"/>
      <c r="C15" s="135"/>
      <c r="D15" s="142"/>
      <c r="E15" s="103">
        <f>F7/E14*8</f>
        <v>1333.3333333333333</v>
      </c>
      <c r="F15" s="1">
        <f>F8/F14*8</f>
        <v>1200</v>
      </c>
      <c r="G15" s="1">
        <f>F9/G14*8</f>
        <v>1066.6666666666667</v>
      </c>
      <c r="H15" s="35"/>
    </row>
    <row r="16" spans="1:11">
      <c r="A16" s="140"/>
      <c r="B16" s="133"/>
      <c r="C16" s="136"/>
      <c r="D16" s="143"/>
      <c r="F16" s="39" t="s">
        <v>38</v>
      </c>
      <c r="G16" s="38">
        <f>SUM(E15:G15)</f>
        <v>3600</v>
      </c>
      <c r="H16" s="35"/>
    </row>
    <row r="17" spans="1:8" ht="18.75" customHeight="1">
      <c r="A17" s="140"/>
      <c r="B17" s="144" t="s">
        <v>48</v>
      </c>
      <c r="C17" s="134" t="s">
        <v>49</v>
      </c>
      <c r="D17" s="141">
        <f>G21</f>
        <v>571.42857142857144</v>
      </c>
      <c r="E17" s="103" t="s">
        <v>5</v>
      </c>
      <c r="F17" s="1" t="s">
        <v>6</v>
      </c>
      <c r="G17" s="1" t="s">
        <v>7</v>
      </c>
      <c r="H17" s="40" t="s">
        <v>50</v>
      </c>
    </row>
    <row r="18" spans="1:8">
      <c r="A18" s="140"/>
      <c r="B18" s="144"/>
      <c r="C18" s="135"/>
      <c r="D18" s="142"/>
      <c r="E18" s="103" t="s">
        <v>45</v>
      </c>
      <c r="F18" s="1" t="s">
        <v>45</v>
      </c>
      <c r="G18" s="1" t="s">
        <v>45</v>
      </c>
      <c r="H18" s="35"/>
    </row>
    <row r="19" spans="1:8" ht="20.100000000000001">
      <c r="A19" s="140"/>
      <c r="B19" s="144"/>
      <c r="C19" s="135"/>
      <c r="D19" s="142"/>
      <c r="E19" s="107">
        <v>10</v>
      </c>
      <c r="F19" s="107">
        <v>7</v>
      </c>
      <c r="G19" s="107">
        <v>4</v>
      </c>
      <c r="H19" s="35" t="s">
        <v>47</v>
      </c>
    </row>
    <row r="20" spans="1:8">
      <c r="A20" s="140"/>
      <c r="B20" s="144"/>
      <c r="C20" s="135"/>
      <c r="D20" s="142"/>
      <c r="E20" s="103">
        <f>F7/E19*8</f>
        <v>200</v>
      </c>
      <c r="F20" s="1">
        <f>F8/F19*8</f>
        <v>171.42857142857142</v>
      </c>
      <c r="G20" s="1">
        <f>F9/G19*8</f>
        <v>200</v>
      </c>
      <c r="H20" s="35"/>
    </row>
    <row r="21" spans="1:8">
      <c r="A21" s="140"/>
      <c r="B21" s="144"/>
      <c r="C21" s="136"/>
      <c r="D21" s="143"/>
      <c r="F21" s="39" t="s">
        <v>38</v>
      </c>
      <c r="G21" s="38">
        <f>SUM(E20:G20)</f>
        <v>571.42857142857144</v>
      </c>
      <c r="H21" s="35"/>
    </row>
    <row r="22" spans="1:8" ht="35.1" customHeight="1">
      <c r="B22" s="86" t="s">
        <v>51</v>
      </c>
      <c r="C22" s="94" t="s">
        <v>52</v>
      </c>
      <c r="D22" s="100">
        <f>SUM(D7:D21)*5%</f>
        <v>215.71309523809524</v>
      </c>
    </row>
    <row r="23" spans="1:8" ht="27" customHeight="1">
      <c r="B23" s="86" t="s">
        <v>53</v>
      </c>
      <c r="C23" s="94" t="s">
        <v>54</v>
      </c>
      <c r="D23" s="100">
        <f>SUM(D7:D22)*5%</f>
        <v>226.49874999999997</v>
      </c>
    </row>
    <row r="24" spans="1:8">
      <c r="A24" s="3"/>
      <c r="B24" s="92"/>
      <c r="C24" s="95" t="s">
        <v>55</v>
      </c>
      <c r="D24" s="101">
        <f>SUM(D7:D23)</f>
        <v>4756.4737499999992</v>
      </c>
    </row>
    <row r="26" spans="1:8">
      <c r="C26" s="96" t="s">
        <v>56</v>
      </c>
      <c r="D26" s="102">
        <f>D24/8</f>
        <v>594.5592187499999</v>
      </c>
    </row>
    <row r="27" spans="1:8">
      <c r="C27" s="96" t="s">
        <v>57</v>
      </c>
      <c r="D27" s="102">
        <f>D26/5</f>
        <v>118.91184374999997</v>
      </c>
    </row>
    <row r="28" spans="1:8">
      <c r="C28" s="96" t="s">
        <v>58</v>
      </c>
      <c r="D28" s="102">
        <f>D27/4</f>
        <v>29.727960937499994</v>
      </c>
    </row>
    <row r="29" spans="1:8" ht="17.100000000000001" customHeight="1">
      <c r="C29" s="97" t="s">
        <v>59</v>
      </c>
      <c r="D29" s="87">
        <v>3</v>
      </c>
    </row>
    <row r="30" spans="1:8">
      <c r="C30" s="96" t="s">
        <v>60</v>
      </c>
      <c r="D30" s="102">
        <f>D27/D29</f>
        <v>39.637281249999994</v>
      </c>
      <c r="E30" s="106">
        <f>D30/4</f>
        <v>9.9093203124999985</v>
      </c>
      <c r="F30" s="1" t="s">
        <v>61</v>
      </c>
    </row>
  </sheetData>
  <mergeCells count="14">
    <mergeCell ref="A12:A16"/>
    <mergeCell ref="B12:B16"/>
    <mergeCell ref="C12:C16"/>
    <mergeCell ref="D12:D16"/>
    <mergeCell ref="A17:A21"/>
    <mergeCell ref="B17:B21"/>
    <mergeCell ref="C17:C21"/>
    <mergeCell ref="D17:D21"/>
    <mergeCell ref="A2:D2"/>
    <mergeCell ref="A4:D4"/>
    <mergeCell ref="A7:A10"/>
    <mergeCell ref="B7:B10"/>
    <mergeCell ref="C7:C10"/>
    <mergeCell ref="D7:D10"/>
  </mergeCells>
  <pageMargins left="0.25" right="0.17" top="0.28000000000000003" bottom="0.22" header="0.22" footer="0.17"/>
  <pageSetup orientation="landscape" r:id="rId1"/>
  <headerFooter alignWithMargins="0"/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1"/>
  <sheetViews>
    <sheetView topLeftCell="A10" zoomScale="80" zoomScaleNormal="80" workbookViewId="0">
      <selection activeCell="U24" sqref="U24"/>
    </sheetView>
  </sheetViews>
  <sheetFormatPr defaultColWidth="18.42578125" defaultRowHeight="14.45"/>
  <cols>
    <col min="1" max="1" width="6.42578125" customWidth="1"/>
    <col min="2" max="2" width="40.5703125" bestFit="1" customWidth="1"/>
    <col min="3" max="26" width="6.140625" customWidth="1"/>
    <col min="27" max="29" width="5.5703125" customWidth="1"/>
  </cols>
  <sheetData>
    <row r="1" spans="1:26" ht="4.5" customHeight="1">
      <c r="B1" s="41" t="s">
        <v>62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2"/>
      <c r="U1" s="41"/>
      <c r="W1" s="41"/>
      <c r="X1" s="41"/>
    </row>
    <row r="2" spans="1:26" ht="12" customHeight="1">
      <c r="B2" s="145" t="s">
        <v>63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</row>
    <row r="3" spans="1:26" ht="23.1" customHeight="1">
      <c r="B3" s="82"/>
      <c r="C3" s="147" t="s">
        <v>64</v>
      </c>
      <c r="D3" s="148"/>
      <c r="E3" s="148"/>
      <c r="F3" s="149"/>
      <c r="G3" s="147" t="s">
        <v>65</v>
      </c>
      <c r="H3" s="148"/>
      <c r="I3" s="148"/>
      <c r="J3" s="149"/>
      <c r="K3" s="147" t="s">
        <v>66</v>
      </c>
      <c r="L3" s="148"/>
      <c r="M3" s="148"/>
      <c r="N3" s="149"/>
      <c r="O3" s="147" t="s">
        <v>67</v>
      </c>
      <c r="P3" s="148"/>
      <c r="Q3" s="148"/>
      <c r="R3" s="149"/>
      <c r="S3" s="147" t="s">
        <v>68</v>
      </c>
      <c r="T3" s="148"/>
      <c r="U3" s="148"/>
      <c r="V3" s="149"/>
      <c r="W3" s="147" t="s">
        <v>69</v>
      </c>
      <c r="X3" s="148"/>
      <c r="Y3" s="148"/>
      <c r="Z3" s="149"/>
    </row>
    <row r="4" spans="1:26" ht="14.1" customHeight="1">
      <c r="B4" s="58" t="s">
        <v>70</v>
      </c>
      <c r="C4" s="44"/>
      <c r="D4" s="67"/>
      <c r="E4" s="43"/>
      <c r="F4" s="67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6"/>
      <c r="V4" s="53"/>
      <c r="W4" s="43"/>
      <c r="X4" s="43"/>
      <c r="Y4" s="43"/>
      <c r="Z4" s="43"/>
    </row>
    <row r="5" spans="1:26" ht="14.1" customHeight="1">
      <c r="B5" s="58" t="s">
        <v>71</v>
      </c>
      <c r="C5" s="43"/>
      <c r="D5" s="45"/>
      <c r="E5" s="45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6"/>
      <c r="V5" s="53"/>
      <c r="W5" s="43"/>
      <c r="X5" s="43"/>
      <c r="Y5" s="43"/>
      <c r="Z5" s="43"/>
    </row>
    <row r="6" spans="1:26" ht="14.1" customHeight="1">
      <c r="B6" s="58" t="s">
        <v>72</v>
      </c>
      <c r="C6" s="43"/>
      <c r="D6" s="43"/>
      <c r="E6" s="43"/>
      <c r="F6" s="44"/>
      <c r="G6" s="44"/>
      <c r="H6" s="44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43"/>
      <c r="X6" s="43"/>
      <c r="Y6" s="43"/>
      <c r="Z6" s="43"/>
    </row>
    <row r="7" spans="1:26" ht="14.1" customHeight="1">
      <c r="B7" s="52" t="s">
        <v>73</v>
      </c>
      <c r="C7" s="47"/>
      <c r="D7" s="47"/>
      <c r="E7" s="47"/>
      <c r="F7" s="47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83"/>
      <c r="V7" s="45"/>
      <c r="W7" s="84"/>
      <c r="X7" s="84"/>
      <c r="Y7" s="84"/>
      <c r="Z7" s="84"/>
    </row>
    <row r="8" spans="1:26" ht="14.1" customHeight="1">
      <c r="B8" s="52" t="s">
        <v>74</v>
      </c>
      <c r="C8" s="48"/>
      <c r="D8" s="48"/>
      <c r="E8" s="48"/>
      <c r="F8" s="43"/>
      <c r="G8" s="67"/>
      <c r="H8" s="68"/>
      <c r="I8" s="67"/>
      <c r="J8" s="67"/>
      <c r="K8" s="67"/>
      <c r="L8" s="53"/>
      <c r="M8" s="53"/>
      <c r="N8" s="53"/>
      <c r="O8" s="53"/>
      <c r="P8" s="53"/>
      <c r="Q8" s="53"/>
      <c r="R8" s="53"/>
      <c r="S8" s="53"/>
      <c r="T8" s="43"/>
      <c r="U8" s="46"/>
      <c r="V8" s="53"/>
      <c r="W8" s="48"/>
      <c r="X8" s="48"/>
      <c r="Y8" s="44"/>
      <c r="Z8" s="44"/>
    </row>
    <row r="9" spans="1:26" ht="14.1" customHeight="1" thickBot="1">
      <c r="B9" s="59" t="s">
        <v>75</v>
      </c>
      <c r="C9" s="55"/>
      <c r="D9" s="55"/>
      <c r="E9" s="55"/>
      <c r="F9" s="56"/>
      <c r="G9" s="69"/>
      <c r="H9" s="68"/>
      <c r="I9" s="67"/>
      <c r="J9" s="67"/>
      <c r="K9" s="67"/>
      <c r="L9" s="67"/>
      <c r="M9" s="67"/>
      <c r="N9" s="67"/>
      <c r="O9" s="67"/>
      <c r="P9" s="67"/>
      <c r="Q9" s="67"/>
      <c r="R9" s="67"/>
      <c r="S9" s="53"/>
      <c r="T9" s="53"/>
      <c r="U9" s="67"/>
      <c r="V9" s="67"/>
      <c r="W9" s="48"/>
      <c r="X9" s="55"/>
      <c r="Y9" s="55"/>
      <c r="Z9" s="56"/>
    </row>
    <row r="10" spans="1:26" s="41" customFormat="1" ht="12" customHeight="1" thickBot="1">
      <c r="A10"/>
      <c r="B10" s="70"/>
      <c r="X10" s="71"/>
    </row>
    <row r="11" spans="1:26" s="41" customFormat="1">
      <c r="A11"/>
      <c r="B11" s="54" t="s">
        <v>76</v>
      </c>
      <c r="C11" s="147" t="s">
        <v>64</v>
      </c>
      <c r="D11" s="148"/>
      <c r="E11" s="148"/>
      <c r="F11" s="149"/>
      <c r="G11" s="147" t="s">
        <v>65</v>
      </c>
      <c r="H11" s="148"/>
      <c r="I11" s="148"/>
      <c r="J11" s="149"/>
      <c r="K11" s="147" t="s">
        <v>66</v>
      </c>
      <c r="L11" s="148"/>
      <c r="M11" s="148"/>
      <c r="N11" s="149"/>
      <c r="O11" s="147" t="s">
        <v>67</v>
      </c>
      <c r="P11" s="148"/>
      <c r="Q11" s="148"/>
      <c r="R11" s="149"/>
      <c r="S11" s="147" t="s">
        <v>68</v>
      </c>
      <c r="T11" s="148"/>
      <c r="U11" s="148"/>
      <c r="V11" s="149"/>
      <c r="W11" s="147" t="s">
        <v>69</v>
      </c>
      <c r="X11" s="148"/>
      <c r="Y11" s="148"/>
      <c r="Z11" s="149"/>
    </row>
    <row r="12" spans="1:26" s="41" customFormat="1" ht="15.6" customHeight="1">
      <c r="A12"/>
      <c r="B12" s="64" t="s">
        <v>77</v>
      </c>
      <c r="C12" s="50">
        <v>1</v>
      </c>
      <c r="D12" s="50">
        <v>1</v>
      </c>
      <c r="E12" s="50">
        <v>1</v>
      </c>
      <c r="F12" s="50">
        <v>1</v>
      </c>
      <c r="G12" s="50">
        <v>1</v>
      </c>
      <c r="H12" s="50">
        <v>1</v>
      </c>
      <c r="I12" s="50">
        <v>1</v>
      </c>
      <c r="J12" s="50">
        <v>1</v>
      </c>
      <c r="K12" s="50">
        <v>1</v>
      </c>
      <c r="L12" s="50">
        <v>1</v>
      </c>
      <c r="M12" s="50">
        <v>1</v>
      </c>
      <c r="N12" s="50">
        <v>1</v>
      </c>
      <c r="O12" s="50">
        <v>1</v>
      </c>
      <c r="P12" s="50">
        <v>1</v>
      </c>
      <c r="Q12" s="50">
        <v>1</v>
      </c>
      <c r="R12" s="50">
        <v>1</v>
      </c>
      <c r="S12" s="50">
        <v>1</v>
      </c>
      <c r="T12" s="50">
        <v>1</v>
      </c>
      <c r="U12" s="50">
        <v>1</v>
      </c>
      <c r="V12" s="50">
        <v>1</v>
      </c>
      <c r="W12" s="50">
        <v>1</v>
      </c>
      <c r="X12" s="50">
        <v>1</v>
      </c>
      <c r="Y12" s="50">
        <v>1</v>
      </c>
      <c r="Z12" s="50">
        <v>1</v>
      </c>
    </row>
    <row r="13" spans="1:26" s="41" customFormat="1" ht="15.6" customHeight="1">
      <c r="A13"/>
      <c r="B13" s="65" t="s">
        <v>78</v>
      </c>
      <c r="C13" s="60">
        <v>1</v>
      </c>
      <c r="D13" s="60">
        <v>1</v>
      </c>
      <c r="E13" s="60">
        <v>1</v>
      </c>
      <c r="F13" s="60">
        <v>1</v>
      </c>
      <c r="G13" s="60">
        <v>1</v>
      </c>
      <c r="H13" s="60">
        <v>1</v>
      </c>
      <c r="I13" s="60">
        <v>1</v>
      </c>
      <c r="J13" s="60">
        <v>1</v>
      </c>
      <c r="K13" s="60">
        <v>1</v>
      </c>
      <c r="L13" s="60">
        <v>1</v>
      </c>
      <c r="M13" s="60">
        <v>1</v>
      </c>
      <c r="N13" s="60">
        <v>1</v>
      </c>
      <c r="O13" s="60">
        <v>1</v>
      </c>
      <c r="P13" s="60">
        <v>1</v>
      </c>
      <c r="Q13" s="60">
        <v>1</v>
      </c>
      <c r="R13" s="60">
        <v>1</v>
      </c>
      <c r="S13" s="60">
        <v>1</v>
      </c>
      <c r="T13" s="60">
        <v>1</v>
      </c>
      <c r="U13" s="60">
        <v>1</v>
      </c>
      <c r="V13" s="60">
        <v>1</v>
      </c>
      <c r="W13" s="60">
        <v>1</v>
      </c>
      <c r="X13" s="60">
        <v>1</v>
      </c>
      <c r="Y13" s="60">
        <v>1</v>
      </c>
      <c r="Z13" s="60">
        <v>1</v>
      </c>
    </row>
    <row r="14" spans="1:26" s="41" customFormat="1" ht="15.6" customHeight="1">
      <c r="A14"/>
      <c r="B14" s="64" t="s">
        <v>79</v>
      </c>
      <c r="C14" s="60"/>
      <c r="D14" s="60"/>
      <c r="E14" s="60"/>
      <c r="F14" s="60"/>
      <c r="G14" s="60">
        <v>2</v>
      </c>
      <c r="H14" s="60">
        <v>2</v>
      </c>
      <c r="I14" s="60">
        <v>2</v>
      </c>
      <c r="J14" s="60">
        <v>2</v>
      </c>
      <c r="K14" s="60">
        <v>2</v>
      </c>
      <c r="L14" s="60">
        <v>2</v>
      </c>
      <c r="M14" s="60">
        <v>2</v>
      </c>
      <c r="N14" s="60">
        <v>2</v>
      </c>
      <c r="O14" s="60">
        <v>2</v>
      </c>
      <c r="P14" s="60">
        <v>2</v>
      </c>
      <c r="Q14" s="60">
        <v>2</v>
      </c>
      <c r="R14" s="60">
        <v>2</v>
      </c>
      <c r="S14" s="60">
        <v>2</v>
      </c>
      <c r="T14" s="60">
        <v>2</v>
      </c>
      <c r="U14" s="60">
        <v>2</v>
      </c>
      <c r="V14" s="60">
        <v>2</v>
      </c>
      <c r="W14" s="60">
        <v>2</v>
      </c>
      <c r="X14" s="60">
        <v>2</v>
      </c>
      <c r="Y14" s="60">
        <v>2</v>
      </c>
      <c r="Z14" s="60">
        <v>2</v>
      </c>
    </row>
    <row r="15" spans="1:26" s="41" customFormat="1" ht="15.6" customHeight="1" thickBot="1">
      <c r="B15" s="66" t="s">
        <v>80</v>
      </c>
      <c r="C15" s="66">
        <f>SUM(C12:C14)</f>
        <v>2</v>
      </c>
      <c r="D15" s="66">
        <f t="shared" ref="D15:Z15" si="0">SUM(D12:D14)</f>
        <v>2</v>
      </c>
      <c r="E15" s="66">
        <f t="shared" si="0"/>
        <v>2</v>
      </c>
      <c r="F15" s="66">
        <f t="shared" si="0"/>
        <v>2</v>
      </c>
      <c r="G15" s="66">
        <f t="shared" si="0"/>
        <v>4</v>
      </c>
      <c r="H15" s="66">
        <f t="shared" si="0"/>
        <v>4</v>
      </c>
      <c r="I15" s="66">
        <f t="shared" si="0"/>
        <v>4</v>
      </c>
      <c r="J15" s="66">
        <f t="shared" si="0"/>
        <v>4</v>
      </c>
      <c r="K15" s="66">
        <f t="shared" si="0"/>
        <v>4</v>
      </c>
      <c r="L15" s="66">
        <f t="shared" si="0"/>
        <v>4</v>
      </c>
      <c r="M15" s="66">
        <f t="shared" si="0"/>
        <v>4</v>
      </c>
      <c r="N15" s="66">
        <f t="shared" si="0"/>
        <v>4</v>
      </c>
      <c r="O15" s="66">
        <f t="shared" si="0"/>
        <v>4</v>
      </c>
      <c r="P15" s="66">
        <f t="shared" si="0"/>
        <v>4</v>
      </c>
      <c r="Q15" s="66">
        <f t="shared" si="0"/>
        <v>4</v>
      </c>
      <c r="R15" s="66">
        <f t="shared" si="0"/>
        <v>4</v>
      </c>
      <c r="S15" s="66">
        <f t="shared" si="0"/>
        <v>4</v>
      </c>
      <c r="T15" s="66">
        <f t="shared" si="0"/>
        <v>4</v>
      </c>
      <c r="U15" s="66">
        <f t="shared" si="0"/>
        <v>4</v>
      </c>
      <c r="V15" s="66">
        <f t="shared" si="0"/>
        <v>4</v>
      </c>
      <c r="W15" s="66">
        <f t="shared" si="0"/>
        <v>4</v>
      </c>
      <c r="X15" s="66">
        <f t="shared" si="0"/>
        <v>4</v>
      </c>
      <c r="Y15" s="66">
        <f t="shared" si="0"/>
        <v>4</v>
      </c>
      <c r="Z15" s="66">
        <f t="shared" si="0"/>
        <v>4</v>
      </c>
    </row>
    <row r="16" spans="1:26" s="41" customFormat="1" ht="15.6" customHeight="1">
      <c r="B16" s="73" t="s">
        <v>81</v>
      </c>
      <c r="C16" s="74">
        <v>1</v>
      </c>
      <c r="D16" s="74">
        <v>1</v>
      </c>
      <c r="E16" s="74">
        <v>1</v>
      </c>
      <c r="F16" s="74">
        <v>1</v>
      </c>
      <c r="G16" s="74">
        <v>1</v>
      </c>
      <c r="H16" s="74">
        <v>1</v>
      </c>
      <c r="I16" s="74">
        <v>1</v>
      </c>
      <c r="J16" s="74">
        <v>1</v>
      </c>
      <c r="K16" s="74">
        <v>1</v>
      </c>
      <c r="L16" s="74">
        <v>1</v>
      </c>
      <c r="M16" s="74">
        <v>1</v>
      </c>
      <c r="N16" s="74">
        <v>1</v>
      </c>
      <c r="O16" s="74">
        <v>1</v>
      </c>
      <c r="P16" s="74">
        <v>1</v>
      </c>
      <c r="Q16" s="74">
        <v>1</v>
      </c>
      <c r="R16" s="74">
        <v>1</v>
      </c>
      <c r="S16" s="74">
        <v>1</v>
      </c>
      <c r="T16" s="74">
        <v>1</v>
      </c>
      <c r="U16" s="74">
        <v>1</v>
      </c>
      <c r="V16" s="74">
        <v>1</v>
      </c>
      <c r="W16" s="74">
        <v>1</v>
      </c>
      <c r="X16" s="74">
        <v>1</v>
      </c>
      <c r="Y16" s="74">
        <v>1</v>
      </c>
      <c r="Z16" s="74">
        <v>1</v>
      </c>
    </row>
    <row r="17" spans="1:26" s="41" customFormat="1" ht="15.6" customHeight="1">
      <c r="B17" s="73" t="s">
        <v>82</v>
      </c>
      <c r="C17" s="74">
        <v>1</v>
      </c>
      <c r="D17" s="74">
        <v>1</v>
      </c>
      <c r="E17" s="74">
        <v>1</v>
      </c>
      <c r="F17" s="74">
        <v>1</v>
      </c>
      <c r="G17" s="74">
        <v>1</v>
      </c>
      <c r="H17" s="74">
        <v>1</v>
      </c>
      <c r="I17" s="74">
        <v>1</v>
      </c>
      <c r="J17" s="74">
        <v>1</v>
      </c>
      <c r="K17" s="74">
        <v>1</v>
      </c>
      <c r="L17" s="74">
        <v>1</v>
      </c>
      <c r="M17" s="74">
        <v>1</v>
      </c>
      <c r="N17" s="74">
        <v>1</v>
      </c>
      <c r="O17" s="74">
        <v>1</v>
      </c>
      <c r="P17" s="74">
        <v>1</v>
      </c>
      <c r="Q17" s="74">
        <v>1</v>
      </c>
      <c r="R17" s="74">
        <v>1</v>
      </c>
      <c r="S17" s="74">
        <v>1</v>
      </c>
      <c r="T17" s="74">
        <v>1</v>
      </c>
      <c r="U17" s="74">
        <v>1</v>
      </c>
      <c r="V17" s="74">
        <v>1</v>
      </c>
      <c r="W17" s="74">
        <v>1</v>
      </c>
      <c r="X17" s="74">
        <v>1</v>
      </c>
      <c r="Y17" s="74">
        <v>1</v>
      </c>
      <c r="Z17" s="74">
        <v>1</v>
      </c>
    </row>
    <row r="18" spans="1:26" s="51" customFormat="1" ht="11.1" thickBot="1">
      <c r="A18" s="51" t="s">
        <v>83</v>
      </c>
      <c r="B18" s="66" t="s">
        <v>8</v>
      </c>
      <c r="C18" s="61">
        <f>SUM(C15:C17)</f>
        <v>4</v>
      </c>
      <c r="D18" s="61">
        <f t="shared" ref="D18:Z18" si="1">SUM(D15:D17)</f>
        <v>4</v>
      </c>
      <c r="E18" s="61">
        <f t="shared" si="1"/>
        <v>4</v>
      </c>
      <c r="F18" s="61">
        <f t="shared" si="1"/>
        <v>4</v>
      </c>
      <c r="G18" s="61">
        <f t="shared" si="1"/>
        <v>6</v>
      </c>
      <c r="H18" s="61">
        <f t="shared" si="1"/>
        <v>6</v>
      </c>
      <c r="I18" s="61">
        <f t="shared" si="1"/>
        <v>6</v>
      </c>
      <c r="J18" s="61">
        <f t="shared" si="1"/>
        <v>6</v>
      </c>
      <c r="K18" s="61">
        <f t="shared" si="1"/>
        <v>6</v>
      </c>
      <c r="L18" s="61">
        <f t="shared" si="1"/>
        <v>6</v>
      </c>
      <c r="M18" s="61">
        <f t="shared" si="1"/>
        <v>6</v>
      </c>
      <c r="N18" s="61">
        <f t="shared" si="1"/>
        <v>6</v>
      </c>
      <c r="O18" s="61">
        <f t="shared" si="1"/>
        <v>6</v>
      </c>
      <c r="P18" s="61">
        <f t="shared" si="1"/>
        <v>6</v>
      </c>
      <c r="Q18" s="61">
        <f t="shared" si="1"/>
        <v>6</v>
      </c>
      <c r="R18" s="61">
        <f t="shared" si="1"/>
        <v>6</v>
      </c>
      <c r="S18" s="61">
        <f t="shared" si="1"/>
        <v>6</v>
      </c>
      <c r="T18" s="61">
        <f t="shared" si="1"/>
        <v>6</v>
      </c>
      <c r="U18" s="61">
        <f t="shared" si="1"/>
        <v>6</v>
      </c>
      <c r="V18" s="61">
        <f t="shared" si="1"/>
        <v>6</v>
      </c>
      <c r="W18" s="61">
        <f t="shared" si="1"/>
        <v>6</v>
      </c>
      <c r="X18" s="61">
        <f t="shared" si="1"/>
        <v>6</v>
      </c>
      <c r="Y18" s="61">
        <f t="shared" si="1"/>
        <v>6</v>
      </c>
      <c r="Z18" s="61">
        <f t="shared" si="1"/>
        <v>6</v>
      </c>
    </row>
    <row r="19" spans="1:26" ht="15" thickBot="1"/>
    <row r="20" spans="1:26">
      <c r="B20" s="150" t="s">
        <v>84</v>
      </c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75"/>
      <c r="S20" s="75"/>
      <c r="T20" s="75"/>
      <c r="U20" s="75"/>
      <c r="V20" s="75"/>
      <c r="W20" s="75"/>
      <c r="X20" s="75"/>
    </row>
    <row r="21" spans="1:26" ht="48.75" customHeight="1">
      <c r="B21" s="63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W21" s="85"/>
    </row>
    <row r="22" spans="1:26" ht="14.1" customHeight="1" thickBot="1">
      <c r="B22" s="59" t="s">
        <v>85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72"/>
      <c r="Q22" s="57"/>
    </row>
    <row r="23" spans="1:26" ht="15" thickBot="1">
      <c r="B23" s="70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71"/>
    </row>
    <row r="24" spans="1:26">
      <c r="B24" s="54" t="s">
        <v>86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W24" s="85"/>
    </row>
    <row r="25" spans="1:26">
      <c r="B25" s="64" t="s">
        <v>87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</row>
    <row r="26" spans="1:26">
      <c r="B26" s="65" t="s">
        <v>88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</row>
    <row r="27" spans="1:26" ht="15" thickBot="1">
      <c r="B27" s="66" t="s">
        <v>8</v>
      </c>
      <c r="C27" s="61">
        <f t="shared" ref="C27:P27" si="2">SUM(C25:C26)</f>
        <v>0</v>
      </c>
      <c r="D27" s="61">
        <f t="shared" si="2"/>
        <v>0</v>
      </c>
      <c r="E27" s="61">
        <f t="shared" ref="E27:G27" si="3">SUM(E25:E26)</f>
        <v>0</v>
      </c>
      <c r="F27" s="61">
        <f t="shared" si="3"/>
        <v>0</v>
      </c>
      <c r="G27" s="61">
        <f t="shared" si="3"/>
        <v>0</v>
      </c>
      <c r="H27" s="61">
        <f t="shared" si="2"/>
        <v>0</v>
      </c>
      <c r="I27" s="61">
        <f t="shared" si="2"/>
        <v>0</v>
      </c>
      <c r="J27" s="61">
        <f t="shared" si="2"/>
        <v>0</v>
      </c>
      <c r="K27" s="61">
        <f t="shared" si="2"/>
        <v>0</v>
      </c>
      <c r="L27" s="61">
        <f t="shared" si="2"/>
        <v>0</v>
      </c>
      <c r="M27" s="61">
        <f t="shared" si="2"/>
        <v>0</v>
      </c>
      <c r="N27" s="61">
        <f t="shared" si="2"/>
        <v>0</v>
      </c>
      <c r="O27" s="61">
        <f t="shared" si="2"/>
        <v>0</v>
      </c>
      <c r="P27" s="62">
        <f t="shared" si="2"/>
        <v>0</v>
      </c>
      <c r="Q27" s="61">
        <f t="shared" ref="Q27" si="4">SUM(Q25:Q26)</f>
        <v>0</v>
      </c>
    </row>
    <row r="31" spans="1:26">
      <c r="N31" t="s">
        <v>89</v>
      </c>
    </row>
  </sheetData>
  <mergeCells count="14">
    <mergeCell ref="B2:Z2"/>
    <mergeCell ref="S11:V11"/>
    <mergeCell ref="W11:Z11"/>
    <mergeCell ref="B20:Q20"/>
    <mergeCell ref="C3:F3"/>
    <mergeCell ref="G3:J3"/>
    <mergeCell ref="K3:N3"/>
    <mergeCell ref="O3:R3"/>
    <mergeCell ref="C11:F11"/>
    <mergeCell ref="G11:J11"/>
    <mergeCell ref="K11:N11"/>
    <mergeCell ref="O11:R11"/>
    <mergeCell ref="S3:V3"/>
    <mergeCell ref="W3:Z3"/>
  </mergeCells>
  <phoneticPr fontId="29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Cognizant Technology Solutions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184996</dc:creator>
  <cp:keywords/>
  <dc:description/>
  <cp:lastModifiedBy/>
  <cp:revision/>
  <dcterms:created xsi:type="dcterms:W3CDTF">2012-12-03T10:37:29Z</dcterms:created>
  <dcterms:modified xsi:type="dcterms:W3CDTF">2025-05-07T20:03:33Z</dcterms:modified>
  <cp:category/>
  <cp:contentStatus/>
</cp:coreProperties>
</file>